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ev\Source\Drive\"/>
    </mc:Choice>
  </mc:AlternateContent>
  <bookViews>
    <workbookView xWindow="0" yWindow="0" windowWidth="16386" windowHeight="8190" tabRatio="500"/>
  </bookViews>
  <sheets>
    <sheet name="Plan A" sheetId="1" r:id="rId1"/>
    <sheet name="Plan A-1" sheetId="2" r:id="rId2"/>
    <sheet name="Plan B" sheetId="3" r:id="rId3"/>
  </sheets>
  <calcPr calcId="152511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3" i="3" l="1"/>
  <c r="F15" i="3" s="1"/>
  <c r="G15" i="3" s="1"/>
  <c r="G11" i="3"/>
  <c r="F11" i="3"/>
  <c r="E11" i="3"/>
  <c r="E10" i="3"/>
  <c r="F13" i="2"/>
  <c r="G13" i="2" s="1"/>
  <c r="F12" i="2"/>
  <c r="G12" i="2" s="1"/>
  <c r="G10" i="2"/>
  <c r="F10" i="2"/>
  <c r="E10" i="2"/>
  <c r="E9" i="2"/>
  <c r="F13" i="1"/>
  <c r="G13" i="1" s="1"/>
  <c r="F12" i="1"/>
  <c r="G12" i="1" s="1"/>
  <c r="F14" i="1" s="1"/>
  <c r="G10" i="1"/>
  <c r="F10" i="1"/>
  <c r="E10" i="1"/>
  <c r="E9" i="1"/>
  <c r="F14" i="2" l="1"/>
  <c r="F17" i="2"/>
  <c r="G17" i="2" s="1"/>
  <c r="F15" i="1"/>
  <c r="G15" i="1" s="1"/>
  <c r="G14" i="1"/>
  <c r="F16" i="1" s="1"/>
  <c r="G16" i="1" s="1"/>
  <c r="F17" i="1" s="1"/>
  <c r="G17" i="1" s="1"/>
  <c r="F18" i="1" s="1"/>
  <c r="G18" i="1" s="1"/>
  <c r="F19" i="1" s="1"/>
  <c r="G19" i="1" s="1"/>
  <c r="F14" i="3"/>
  <c r="G14" i="3" s="1"/>
  <c r="F16" i="3" s="1"/>
  <c r="F17" i="3" l="1"/>
  <c r="G17" i="3" s="1"/>
  <c r="G16" i="3"/>
  <c r="F18" i="3" s="1"/>
  <c r="G18" i="3" s="1"/>
  <c r="F19" i="3" s="1"/>
  <c r="G19" i="3" s="1"/>
  <c r="F20" i="3" s="1"/>
  <c r="G20" i="3" s="1"/>
  <c r="F21" i="3" s="1"/>
  <c r="G21" i="3" s="1"/>
  <c r="D4" i="1"/>
  <c r="D3" i="1"/>
  <c r="F15" i="2"/>
  <c r="G15" i="2" s="1"/>
  <c r="G14" i="2"/>
  <c r="F16" i="2" s="1"/>
  <c r="G16" i="2" s="1"/>
  <c r="F18" i="2" s="1"/>
  <c r="G18" i="2" s="1"/>
  <c r="F19" i="2" s="1"/>
  <c r="G19" i="2" s="1"/>
  <c r="D4" i="2" l="1"/>
  <c r="D3" i="2"/>
  <c r="D4" i="3"/>
  <c r="D3" i="3"/>
</calcChain>
</file>

<file path=xl/sharedStrings.xml><?xml version="1.0" encoding="utf-8"?>
<sst xmlns="http://schemas.openxmlformats.org/spreadsheetml/2006/main" count="266" uniqueCount="88">
  <si>
    <r>
      <rPr>
        <b/>
        <sz val="14"/>
        <color rgb="FFFFFFFF"/>
        <rFont val="맑은 고딕"/>
        <family val="3"/>
        <charset val="129"/>
      </rPr>
      <t xml:space="preserve">RAG </t>
    </r>
    <r>
      <rPr>
        <b/>
        <sz val="14"/>
        <color rgb="FFFFFFFF"/>
        <rFont val="Noto Sans CJK SC"/>
        <family val="2"/>
      </rPr>
      <t xml:space="preserve">평가 시스템 프로젝트 일정 — </t>
    </r>
    <r>
      <rPr>
        <b/>
        <sz val="14"/>
        <color rgb="FFFFFFFF"/>
        <rFont val="맑은 고딕"/>
        <family val="3"/>
        <charset val="129"/>
      </rPr>
      <t>Plan A (</t>
    </r>
    <r>
      <rPr>
        <b/>
        <sz val="14"/>
        <color rgb="FFFFFFFF"/>
        <rFont val="Noto Sans CJK SC"/>
        <family val="2"/>
      </rPr>
      <t xml:space="preserve">순차 배치 </t>
    </r>
    <r>
      <rPr>
        <b/>
        <sz val="14"/>
        <color rgb="FFFFFFFF"/>
        <rFont val="맑은 고딕"/>
        <family val="3"/>
        <charset val="129"/>
      </rPr>
      <t>· 2</t>
    </r>
    <r>
      <rPr>
        <b/>
        <sz val="14"/>
        <color rgb="FFFFFFFF"/>
        <rFont val="Noto Sans CJK SC"/>
        <family val="2"/>
      </rPr>
      <t>트랙 동시 진행</t>
    </r>
    <r>
      <rPr>
        <b/>
        <sz val="14"/>
        <color rgb="FFFFFFFF"/>
        <rFont val="맑은 고딕"/>
        <family val="3"/>
        <charset val="129"/>
      </rPr>
      <t>)</t>
    </r>
  </si>
  <si>
    <t>목표 마감일</t>
  </si>
  <si>
    <r>
      <rPr>
        <i/>
        <sz val="8.6"/>
        <color rgb="FF6B675F"/>
        <rFont val="맑은 고딕"/>
        <family val="3"/>
        <charset val="129"/>
      </rPr>
      <t>Plan A</t>
    </r>
    <r>
      <rPr>
        <i/>
        <sz val="8.6"/>
        <color rgb="FF6B675F"/>
        <rFont val="Noto Sans CJK SC"/>
        <family val="2"/>
      </rPr>
      <t>는 이주리</t>
    </r>
    <r>
      <rPr>
        <i/>
        <sz val="8.6"/>
        <color rgb="FF6B675F"/>
        <rFont val="맑은 고딕"/>
        <family val="3"/>
        <charset val="129"/>
      </rPr>
      <t>·</t>
    </r>
    <r>
      <rPr>
        <i/>
        <sz val="8.6"/>
        <color rgb="FF6B675F"/>
        <rFont val="Noto Sans CJK SC"/>
        <family val="2"/>
      </rPr>
      <t>정기현</t>
    </r>
    <r>
      <rPr>
        <i/>
        <sz val="8.6"/>
        <color rgb="FF6B675F"/>
        <rFont val="맑은 고딕"/>
        <family val="3"/>
        <charset val="129"/>
      </rPr>
      <t>(PL) 2</t>
    </r>
    <r>
      <rPr>
        <i/>
        <sz val="8.6"/>
        <color rgb="FF6B675F"/>
        <rFont val="Noto Sans CJK SC"/>
        <family val="2"/>
      </rPr>
      <t>인</t>
    </r>
    <r>
      <rPr>
        <i/>
        <sz val="8.6"/>
        <color rgb="FF6B675F"/>
        <rFont val="맑은 고딕"/>
        <family val="3"/>
        <charset val="129"/>
      </rPr>
      <t>(</t>
    </r>
    <r>
      <rPr>
        <i/>
        <sz val="8.6"/>
        <color rgb="FF6B675F"/>
        <rFont val="Noto Sans CJK SC"/>
        <family val="2"/>
      </rPr>
      <t>기존 인력</t>
    </r>
    <r>
      <rPr>
        <i/>
        <sz val="8.6"/>
        <color rgb="FF6B675F"/>
        <rFont val="맑은 고딕"/>
        <family val="3"/>
        <charset val="129"/>
      </rPr>
      <t>)</t>
    </r>
    <r>
      <rPr>
        <i/>
        <sz val="8.6"/>
        <color rgb="FF6B675F"/>
        <rFont val="Noto Sans CJK SC"/>
        <family val="2"/>
      </rPr>
      <t>만으로 진행하는 기준 시나리오입니다</t>
    </r>
    <r>
      <rPr>
        <i/>
        <sz val="8.6"/>
        <color rgb="FF6B675F"/>
        <rFont val="맑은 고딕"/>
        <family val="3"/>
        <charset val="129"/>
      </rPr>
      <t xml:space="preserve">. No.5~10 </t>
    </r>
    <r>
      <rPr>
        <i/>
        <sz val="8.6"/>
        <color rgb="FF6B675F"/>
        <rFont val="Noto Sans CJK SC"/>
        <family val="2"/>
      </rPr>
      <t>항목의 종료일을 클리핑 없이 정상 표시했으며</t>
    </r>
    <r>
      <rPr>
        <i/>
        <sz val="8.6"/>
        <color rgb="FF6B675F"/>
        <rFont val="맑은 고딕"/>
        <family val="3"/>
        <charset val="129"/>
      </rPr>
      <t xml:space="preserve">, </t>
    </r>
    <r>
      <rPr>
        <i/>
        <sz val="8.6"/>
        <color rgb="FF6B675F"/>
        <rFont val="Noto Sans CJK SC"/>
        <family val="2"/>
      </rPr>
      <t xml:space="preserve">최종 종료일은 </t>
    </r>
    <r>
      <rPr>
        <i/>
        <sz val="8.6"/>
        <color rgb="FF6B675F"/>
        <rFont val="맑은 고딕"/>
        <family val="3"/>
        <charset val="129"/>
      </rPr>
      <t>5/10</t>
    </r>
    <r>
      <rPr>
        <i/>
        <sz val="8.6"/>
        <color rgb="FF6B675F"/>
        <rFont val="Noto Sans CJK SC"/>
        <family val="2"/>
      </rPr>
      <t>경으로 목표</t>
    </r>
    <r>
      <rPr>
        <i/>
        <sz val="8.6"/>
        <color rgb="FF6B675F"/>
        <rFont val="맑은 고딕"/>
        <family val="3"/>
        <charset val="129"/>
      </rPr>
      <t xml:space="preserve">(3/15) </t>
    </r>
    <r>
      <rPr>
        <i/>
        <sz val="8.6"/>
        <color rgb="FF6B675F"/>
        <rFont val="Noto Sans CJK SC"/>
        <family val="2"/>
      </rPr>
      <t xml:space="preserve">대비 약 </t>
    </r>
    <r>
      <rPr>
        <i/>
        <sz val="8.6"/>
        <color rgb="FF6B675F"/>
        <rFont val="맑은 고딕"/>
        <family val="3"/>
        <charset val="129"/>
      </rPr>
      <t>8</t>
    </r>
    <r>
      <rPr>
        <i/>
        <sz val="8.6"/>
        <color rgb="FF6B675F"/>
        <rFont val="Noto Sans CJK SC"/>
        <family val="2"/>
      </rPr>
      <t>주 초과합니다</t>
    </r>
    <r>
      <rPr>
        <i/>
        <sz val="8.6"/>
        <color rgb="FF6B675F"/>
        <rFont val="맑은 고딕"/>
        <family val="3"/>
        <charset val="129"/>
      </rPr>
      <t>. 4</t>
    </r>
    <r>
      <rPr>
        <i/>
        <sz val="8.6"/>
        <color rgb="FF6B675F"/>
        <rFont val="Noto Sans CJK SC"/>
        <family val="2"/>
      </rPr>
      <t xml:space="preserve">주를 단축한 대안은 </t>
    </r>
    <r>
      <rPr>
        <i/>
        <sz val="8.6"/>
        <color rgb="FF6B675F"/>
        <rFont val="맑은 고딕"/>
        <family val="3"/>
        <charset val="129"/>
      </rPr>
      <t>Plan A-1(</t>
    </r>
    <r>
      <rPr>
        <i/>
        <sz val="8.6"/>
        <color rgb="FF6B675F"/>
        <rFont val="Noto Sans CJK SC"/>
        <family val="2"/>
      </rPr>
      <t xml:space="preserve">신규 개발자 </t>
    </r>
    <r>
      <rPr>
        <i/>
        <sz val="8.6"/>
        <color rgb="FF6B675F"/>
        <rFont val="맑은 고딕"/>
        <family val="3"/>
        <charset val="129"/>
      </rPr>
      <t>2</t>
    </r>
    <r>
      <rPr>
        <i/>
        <sz val="8.6"/>
        <color rgb="FF6B675F"/>
        <rFont val="Noto Sans CJK SC"/>
        <family val="2"/>
      </rPr>
      <t>명 추가</t>
    </r>
    <r>
      <rPr>
        <i/>
        <sz val="8.6"/>
        <color rgb="FF6B675F"/>
        <rFont val="맑은 고딕"/>
        <family val="3"/>
        <charset val="129"/>
      </rPr>
      <t xml:space="preserve">) </t>
    </r>
    <r>
      <rPr>
        <i/>
        <sz val="8.6"/>
        <color rgb="FF6B675F"/>
        <rFont val="Noto Sans CJK SC"/>
        <family val="2"/>
      </rPr>
      <t>시트를 참고하세요</t>
    </r>
    <r>
      <rPr>
        <i/>
        <sz val="8.6"/>
        <color rgb="FF6B675F"/>
        <rFont val="맑은 고딕"/>
        <family val="3"/>
        <charset val="129"/>
      </rPr>
      <t xml:space="preserve">. </t>
    </r>
    <r>
      <rPr>
        <i/>
        <sz val="8.6"/>
        <color rgb="FF6B675F"/>
        <rFont val="Noto Sans CJK SC"/>
        <family val="2"/>
      </rPr>
      <t>기간</t>
    </r>
    <r>
      <rPr>
        <i/>
        <sz val="8.6"/>
        <color rgb="FF6B675F"/>
        <rFont val="맑은 고딕"/>
        <family val="3"/>
        <charset val="129"/>
      </rPr>
      <t>(</t>
    </r>
    <r>
      <rPr>
        <i/>
        <sz val="8.6"/>
        <color rgb="FF6B675F"/>
        <rFont val="Noto Sans CJK SC"/>
        <family val="2"/>
      </rPr>
      <t>주</t>
    </r>
    <r>
      <rPr>
        <i/>
        <sz val="8.6"/>
        <color rgb="FF6B675F"/>
        <rFont val="맑은 고딕"/>
        <family val="3"/>
        <charset val="129"/>
      </rPr>
      <t xml:space="preserve">) </t>
    </r>
    <r>
      <rPr>
        <i/>
        <sz val="8.6"/>
        <color rgb="FF6B675F"/>
        <rFont val="Noto Sans CJK SC"/>
        <family val="2"/>
      </rPr>
      <t>숫자만 바꾸면 전체 일정이 자동 갱신됩니다</t>
    </r>
    <r>
      <rPr>
        <i/>
        <sz val="8.6"/>
        <color rgb="FF6B675F"/>
        <rFont val="맑은 고딕"/>
        <family val="3"/>
        <charset val="129"/>
      </rPr>
      <t>.</t>
    </r>
  </si>
  <si>
    <t>예상 개발 종료일</t>
  </si>
  <si>
    <r>
      <rPr>
        <b/>
        <sz val="9.5"/>
        <color rgb="FF1F1D19"/>
        <rFont val="Noto Sans CJK SC"/>
        <family val="2"/>
      </rPr>
      <t>목표 대비 초과</t>
    </r>
    <r>
      <rPr>
        <b/>
        <sz val="9.5"/>
        <color rgb="FF1F1D19"/>
        <rFont val="맑은 고딕"/>
        <family val="3"/>
        <charset val="129"/>
      </rPr>
      <t>/</t>
    </r>
    <r>
      <rPr>
        <b/>
        <sz val="9.5"/>
        <color rgb="FF1F1D19"/>
        <rFont val="Noto Sans CJK SC"/>
        <family val="2"/>
      </rPr>
      <t>여유</t>
    </r>
    <r>
      <rPr>
        <b/>
        <sz val="9.5"/>
        <color rgb="FF1F1D19"/>
        <rFont val="맑은 고딕"/>
        <family val="3"/>
        <charset val="129"/>
      </rPr>
      <t>(</t>
    </r>
    <r>
      <rPr>
        <b/>
        <sz val="9.5"/>
        <color rgb="FF1F1D19"/>
        <rFont val="Noto Sans CJK SC"/>
        <family val="2"/>
      </rPr>
      <t>주</t>
    </r>
    <r>
      <rPr>
        <b/>
        <sz val="9.5"/>
        <color rgb="FF1F1D19"/>
        <rFont val="맑은 고딕"/>
        <family val="3"/>
        <charset val="129"/>
      </rPr>
      <t>)</t>
    </r>
  </si>
  <si>
    <t>월</t>
  </si>
  <si>
    <t>26.06</t>
  </si>
  <si>
    <t>26.07</t>
  </si>
  <si>
    <t>26.08</t>
  </si>
  <si>
    <t>26.09</t>
  </si>
  <si>
    <t>26.10</t>
  </si>
  <si>
    <t>26.11</t>
  </si>
  <si>
    <t>26.12</t>
  </si>
  <si>
    <t>27.01</t>
  </si>
  <si>
    <t>27.02</t>
  </si>
  <si>
    <t>27.03</t>
  </si>
  <si>
    <t>27.04</t>
  </si>
  <si>
    <t>27.05</t>
  </si>
  <si>
    <t>No</t>
  </si>
  <si>
    <t>구분</t>
  </si>
  <si>
    <r>
      <rPr>
        <b/>
        <sz val="9.5"/>
        <color rgb="FFFFFFFF"/>
        <rFont val="Noto Sans CJK SC"/>
        <family val="2"/>
      </rPr>
      <t>세부 그룹</t>
    </r>
    <r>
      <rPr>
        <b/>
        <sz val="9.5"/>
        <color rgb="FFFFFFFF"/>
        <rFont val="맑은 고딕"/>
        <family val="3"/>
        <charset val="129"/>
      </rPr>
      <t>(</t>
    </r>
    <r>
      <rPr>
        <b/>
        <sz val="9.5"/>
        <color rgb="FFFFFFFF"/>
        <rFont val="Noto Sans CJK SC"/>
        <family val="2"/>
      </rPr>
      <t>트랙</t>
    </r>
    <r>
      <rPr>
        <b/>
        <sz val="9.5"/>
        <color rgb="FFFFFFFF"/>
        <rFont val="맑은 고딕"/>
        <family val="3"/>
        <charset val="129"/>
      </rPr>
      <t>)</t>
    </r>
  </si>
  <si>
    <t>항목</t>
  </si>
  <si>
    <r>
      <rPr>
        <b/>
        <sz val="9.5"/>
        <color rgb="FFFFFFFF"/>
        <rFont val="Noto Sans CJK SC"/>
        <family val="2"/>
      </rPr>
      <t>기간</t>
    </r>
    <r>
      <rPr>
        <b/>
        <sz val="9.5"/>
        <color rgb="FFFFFFFF"/>
        <rFont val="맑은 고딕"/>
        <family val="3"/>
        <charset val="129"/>
      </rPr>
      <t>(</t>
    </r>
    <r>
      <rPr>
        <b/>
        <sz val="9.5"/>
        <color rgb="FFFFFFFF"/>
        <rFont val="Noto Sans CJK SC"/>
        <family val="2"/>
      </rPr>
      <t>주</t>
    </r>
    <r>
      <rPr>
        <b/>
        <sz val="9.5"/>
        <color rgb="FFFFFFFF"/>
        <rFont val="맑은 고딕"/>
        <family val="3"/>
        <charset val="129"/>
      </rPr>
      <t>)</t>
    </r>
  </si>
  <si>
    <t>시작일</t>
  </si>
  <si>
    <t>종료일</t>
  </si>
  <si>
    <t>담당 인력</t>
  </si>
  <si>
    <t>비고</t>
  </si>
  <si>
    <r>
      <rPr>
        <b/>
        <sz val="9.5"/>
        <color rgb="FF1F1D19"/>
        <rFont val="Noto Sans CJK SC"/>
        <family val="2"/>
      </rPr>
      <t xml:space="preserve">개발 </t>
    </r>
    <r>
      <rPr>
        <b/>
        <sz val="9.5"/>
        <color rgb="FF1F1D19"/>
        <rFont val="맑은 고딕"/>
        <family val="3"/>
        <charset val="129"/>
      </rPr>
      <t>1</t>
    </r>
    <r>
      <rPr>
        <b/>
        <sz val="9.5"/>
        <color rgb="FF1F1D19"/>
        <rFont val="Noto Sans CJK SC"/>
        <family val="2"/>
      </rPr>
      <t xml:space="preserve">단계 </t>
    </r>
    <r>
      <rPr>
        <b/>
        <sz val="9.5"/>
        <color rgb="FF1F1D19"/>
        <rFont val="맑은 고딕"/>
        <family val="3"/>
        <charset val="129"/>
      </rPr>
      <t>(</t>
    </r>
    <r>
      <rPr>
        <b/>
        <sz val="9.5"/>
        <color rgb="FF1F1D19"/>
        <rFont val="Noto Sans CJK SC"/>
        <family val="2"/>
      </rPr>
      <t>우선순위 선택</t>
    </r>
    <r>
      <rPr>
        <b/>
        <sz val="9.5"/>
        <color rgb="FF1F1D19"/>
        <rFont val="맑은 고딕"/>
        <family val="3"/>
        <charset val="129"/>
      </rPr>
      <t>)</t>
    </r>
  </si>
  <si>
    <t>개발</t>
  </si>
  <si>
    <t>단독</t>
  </si>
  <si>
    <r>
      <rPr>
        <sz val="9.5"/>
        <color rgb="FF1F1D19"/>
        <rFont val="맑은 고딕"/>
        <family val="3"/>
        <charset val="129"/>
      </rPr>
      <t>Cache RAG 1</t>
    </r>
    <r>
      <rPr>
        <sz val="9.5"/>
        <color rgb="FF1F1D19"/>
        <rFont val="Noto Sans CJK SC"/>
        <family val="2"/>
      </rPr>
      <t>단계</t>
    </r>
  </si>
  <si>
    <r>
      <rPr>
        <sz val="9.5"/>
        <color rgb="FF1F1D19"/>
        <rFont val="Noto Sans CJK SC"/>
        <family val="2"/>
      </rPr>
      <t>이주리</t>
    </r>
    <r>
      <rPr>
        <sz val="9.5"/>
        <color rgb="FF1F1D19"/>
        <rFont val="맑은 고딕"/>
        <family val="3"/>
        <charset val="129"/>
      </rPr>
      <t>·</t>
    </r>
    <r>
      <rPr>
        <sz val="9.5"/>
        <color rgb="FF1F1D19"/>
        <rFont val="Noto Sans CJK SC"/>
        <family val="2"/>
      </rPr>
      <t>정기현</t>
    </r>
    <r>
      <rPr>
        <sz val="9.5"/>
        <color rgb="FF1F1D19"/>
        <rFont val="맑은 고딕"/>
        <family val="3"/>
        <charset val="129"/>
      </rPr>
      <t>(PL)</t>
    </r>
  </si>
  <si>
    <t>우선순위 비교</t>
  </si>
  <si>
    <r>
      <rPr>
        <sz val="9.5"/>
        <color rgb="FF1F1D19"/>
        <rFont val="맑은 고딕"/>
        <family val="3"/>
        <charset val="129"/>
      </rPr>
      <t xml:space="preserve">NPS </t>
    </r>
    <r>
      <rPr>
        <sz val="9.5"/>
        <color rgb="FF1F1D19"/>
        <rFont val="Noto Sans CJK SC"/>
        <family val="2"/>
      </rPr>
      <t>분석 기능</t>
    </r>
  </si>
  <si>
    <r>
      <rPr>
        <sz val="9.5"/>
        <color rgb="FF1F1D19"/>
        <rFont val="맑은 고딕"/>
        <family val="3"/>
        <charset val="129"/>
      </rPr>
      <t>(</t>
    </r>
    <r>
      <rPr>
        <sz val="9.5"/>
        <color rgb="FF1F1D19"/>
        <rFont val="Noto Sans CJK SC"/>
        <family val="2"/>
      </rPr>
      <t>우선순위 선택 시 배정</t>
    </r>
    <r>
      <rPr>
        <sz val="9.5"/>
        <color rgb="FF1F1D19"/>
        <rFont val="맑은 고딕"/>
        <family val="3"/>
        <charset val="129"/>
      </rPr>
      <t>)</t>
    </r>
  </si>
  <si>
    <r>
      <rPr>
        <sz val="9.5"/>
        <color rgb="FF1F1D19"/>
        <rFont val="맑은 고딕"/>
        <family val="3"/>
        <charset val="129"/>
      </rPr>
      <t>Cache RAG 1</t>
    </r>
    <r>
      <rPr>
        <sz val="9.5"/>
        <color rgb="FF1F1D19"/>
        <rFont val="Noto Sans CJK SC"/>
        <family val="2"/>
      </rPr>
      <t>단계와 동일 기간 — 둘 중 우선순위 선택용</t>
    </r>
  </si>
  <si>
    <r>
      <rPr>
        <b/>
        <sz val="9.5"/>
        <color rgb="FF1F1D19"/>
        <rFont val="Noto Sans CJK SC"/>
        <family val="2"/>
      </rPr>
      <t xml:space="preserve">개발 </t>
    </r>
    <r>
      <rPr>
        <b/>
        <sz val="9.5"/>
        <color rgb="FF1F1D19"/>
        <rFont val="맑은 고딕"/>
        <family val="3"/>
        <charset val="129"/>
      </rPr>
      <t>2</t>
    </r>
    <r>
      <rPr>
        <b/>
        <sz val="9.5"/>
        <color rgb="FF1F1D19"/>
        <rFont val="Noto Sans CJK SC"/>
        <family val="2"/>
      </rPr>
      <t xml:space="preserve">단계 </t>
    </r>
    <r>
      <rPr>
        <b/>
        <sz val="9.5"/>
        <color rgb="FF1F1D19"/>
        <rFont val="맑은 고딕"/>
        <family val="3"/>
        <charset val="129"/>
      </rPr>
      <t>(9</t>
    </r>
    <r>
      <rPr>
        <b/>
        <sz val="9.5"/>
        <color rgb="FF1F1D19"/>
        <rFont val="Noto Sans CJK SC"/>
        <family val="2"/>
      </rPr>
      <t>월 시작</t>
    </r>
    <r>
      <rPr>
        <b/>
        <sz val="9.5"/>
        <color rgb="FF1F1D19"/>
        <rFont val="맑은 고딕"/>
        <family val="3"/>
        <charset val="129"/>
      </rPr>
      <t>)</t>
    </r>
  </si>
  <si>
    <r>
      <rPr>
        <sz val="9.5"/>
        <color rgb="FF3D6B8C"/>
        <rFont val="Noto Sans CJK SC"/>
        <family val="2"/>
      </rPr>
      <t>트랙</t>
    </r>
    <r>
      <rPr>
        <sz val="9.5"/>
        <color rgb="FF3D6B8C"/>
        <rFont val="맑은 고딕"/>
        <family val="3"/>
        <charset val="129"/>
      </rPr>
      <t>1</t>
    </r>
  </si>
  <si>
    <r>
      <rPr>
        <sz val="9.5"/>
        <color rgb="FF1F1D19"/>
        <rFont val="맑은 고딕"/>
        <family val="3"/>
        <charset val="129"/>
      </rPr>
      <t>Cache RAG 2</t>
    </r>
    <r>
      <rPr>
        <sz val="9.5"/>
        <color rgb="FF1F1D19"/>
        <rFont val="Noto Sans CJK SC"/>
        <family val="2"/>
      </rPr>
      <t>단계</t>
    </r>
  </si>
  <si>
    <t>이주리</t>
  </si>
  <si>
    <r>
      <rPr>
        <sz val="9.5"/>
        <color rgb="FF1F1D19"/>
        <rFont val="맑은 고딕"/>
        <family val="3"/>
        <charset val="129"/>
      </rPr>
      <t>Cache RAG 1</t>
    </r>
    <r>
      <rPr>
        <sz val="9.5"/>
        <color rgb="FF1F1D19"/>
        <rFont val="Noto Sans CJK SC"/>
        <family val="2"/>
      </rPr>
      <t>단계 직후 시작</t>
    </r>
  </si>
  <si>
    <r>
      <rPr>
        <sz val="9.5"/>
        <color rgb="FF5D8C5A"/>
        <rFont val="Noto Sans CJK SC"/>
        <family val="2"/>
      </rPr>
      <t>트랙</t>
    </r>
    <r>
      <rPr>
        <sz val="9.5"/>
        <color rgb="FF5D8C5A"/>
        <rFont val="맑은 고딕"/>
        <family val="3"/>
        <charset val="129"/>
      </rPr>
      <t>2</t>
    </r>
  </si>
  <si>
    <r>
      <rPr>
        <sz val="9.5"/>
        <color rgb="FF1F1D19"/>
        <rFont val="Noto Sans CJK SC"/>
        <family val="2"/>
      </rPr>
      <t>분석</t>
    </r>
    <r>
      <rPr>
        <sz val="9.5"/>
        <color rgb="FF1F1D19"/>
        <rFont val="맑은 고딕"/>
        <family val="3"/>
        <charset val="129"/>
      </rPr>
      <t>/</t>
    </r>
    <r>
      <rPr>
        <sz val="9.5"/>
        <color rgb="FF1F1D19"/>
        <rFont val="Noto Sans CJK SC"/>
        <family val="2"/>
      </rPr>
      <t>설계</t>
    </r>
    <r>
      <rPr>
        <sz val="9.5"/>
        <color rgb="FF1F1D19"/>
        <rFont val="맑은 고딕"/>
        <family val="3"/>
        <charset val="129"/>
      </rPr>
      <t>/</t>
    </r>
    <r>
      <rPr>
        <sz val="9.5"/>
        <color rgb="FF1F1D19"/>
        <rFont val="Noto Sans CJK SC"/>
        <family val="2"/>
      </rPr>
      <t>기술검증</t>
    </r>
  </si>
  <si>
    <r>
      <rPr>
        <sz val="9.5"/>
        <color rgb="FF1F1D19"/>
        <rFont val="Noto Sans CJK SC"/>
        <family val="2"/>
      </rPr>
      <t>정기현</t>
    </r>
    <r>
      <rPr>
        <sz val="9.5"/>
        <color rgb="FF1F1D19"/>
        <rFont val="맑은 고딕"/>
        <family val="3"/>
        <charset val="129"/>
      </rPr>
      <t>(PL)</t>
    </r>
  </si>
  <si>
    <r>
      <rPr>
        <sz val="9.5"/>
        <color rgb="FF1F1D19"/>
        <rFont val="Noto Sans CJK SC"/>
        <family val="2"/>
      </rPr>
      <t>트랙</t>
    </r>
    <r>
      <rPr>
        <sz val="9.5"/>
        <color rgb="FF1F1D19"/>
        <rFont val="맑은 고딕"/>
        <family val="3"/>
        <charset val="129"/>
      </rPr>
      <t>1</t>
    </r>
    <r>
      <rPr>
        <sz val="9.5"/>
        <color rgb="FF1F1D19"/>
        <rFont val="Noto Sans CJK SC"/>
        <family val="2"/>
      </rPr>
      <t>과 동시 시작</t>
    </r>
  </si>
  <si>
    <r>
      <rPr>
        <sz val="9.5"/>
        <color rgb="FF8B5FA0"/>
        <rFont val="Noto Sans CJK SC"/>
        <family val="2"/>
      </rPr>
      <t>합류</t>
    </r>
    <r>
      <rPr>
        <sz val="9.5"/>
        <color rgb="FF8B5FA0"/>
        <rFont val="맑은 고딕"/>
        <family val="3"/>
        <charset val="129"/>
      </rPr>
      <t>(2</t>
    </r>
    <r>
      <rPr>
        <sz val="9.5"/>
        <color rgb="FF8B5FA0"/>
        <rFont val="Noto Sans CJK SC"/>
        <family val="2"/>
      </rPr>
      <t>인 동시</t>
    </r>
    <r>
      <rPr>
        <sz val="9.5"/>
        <color rgb="FF8B5FA0"/>
        <rFont val="맑은 고딕"/>
        <family val="3"/>
        <charset val="129"/>
      </rPr>
      <t>)</t>
    </r>
  </si>
  <si>
    <t>진단 및 분석</t>
  </si>
  <si>
    <r>
      <rPr>
        <sz val="9.5"/>
        <color rgb="FF1F1D19"/>
        <rFont val="Noto Sans CJK SC"/>
        <family val="2"/>
      </rPr>
      <t xml:space="preserve">두 트랙 합류 후 </t>
    </r>
    <r>
      <rPr>
        <sz val="9.5"/>
        <color rgb="FF1F1D19"/>
        <rFont val="맑은 고딕"/>
        <family val="3"/>
        <charset val="129"/>
      </rPr>
      <t>2</t>
    </r>
    <r>
      <rPr>
        <sz val="9.5"/>
        <color rgb="FF1F1D19"/>
        <rFont val="Noto Sans CJK SC"/>
        <family val="2"/>
      </rPr>
      <t>인 동시 진행</t>
    </r>
  </si>
  <si>
    <r>
      <rPr>
        <sz val="9.5"/>
        <color rgb="FF1F1D19"/>
        <rFont val="맑은 고딕"/>
        <family val="3"/>
        <charset val="129"/>
      </rPr>
      <t xml:space="preserve">AI Friendly </t>
    </r>
    <r>
      <rPr>
        <sz val="9.5"/>
        <color rgb="FF1F1D19"/>
        <rFont val="Noto Sans CJK SC"/>
        <family val="2"/>
      </rPr>
      <t>컨텐츠 검증</t>
    </r>
  </si>
  <si>
    <t>진단 및 분석과 동시 진행</t>
  </si>
  <si>
    <t>합류 이후 공통</t>
  </si>
  <si>
    <t>평가 및 튜닝</t>
  </si>
  <si>
    <t>로그 분석기</t>
  </si>
  <si>
    <t>평가 및 튜닝 다음 일정</t>
  </si>
  <si>
    <r>
      <rPr>
        <sz val="9.5"/>
        <color rgb="FF1F1D19"/>
        <rFont val="Noto Sans CJK SC"/>
        <family val="2"/>
      </rPr>
      <t>연동</t>
    </r>
    <r>
      <rPr>
        <sz val="9.5"/>
        <color rgb="FF1F1D19"/>
        <rFont val="맑은 고딕"/>
        <family val="3"/>
        <charset val="129"/>
      </rPr>
      <t>/</t>
    </r>
    <r>
      <rPr>
        <sz val="9.5"/>
        <color rgb="FF1F1D19"/>
        <rFont val="Noto Sans CJK SC"/>
        <family val="2"/>
      </rPr>
      <t>테스트</t>
    </r>
  </si>
  <si>
    <t>공통 단계</t>
  </si>
  <si>
    <r>
      <rPr>
        <sz val="9.5"/>
        <color rgb="FF1F1D19"/>
        <rFont val="Noto Sans CJK SC"/>
        <family val="2"/>
      </rPr>
      <t>배포</t>
    </r>
    <r>
      <rPr>
        <sz val="9.5"/>
        <color rgb="FF1F1D19"/>
        <rFont val="맑은 고딕"/>
        <family val="3"/>
        <charset val="129"/>
      </rPr>
      <t>/</t>
    </r>
    <r>
      <rPr>
        <sz val="9.5"/>
        <color rgb="FF1F1D19"/>
        <rFont val="Noto Sans CJK SC"/>
        <family val="2"/>
      </rPr>
      <t>안정화</t>
    </r>
  </si>
  <si>
    <r>
      <rPr>
        <b/>
        <sz val="9.5"/>
        <color rgb="FF1F1D19"/>
        <rFont val="Noto Sans CJK SC"/>
        <family val="2"/>
      </rPr>
      <t xml:space="preserve">운영 대응 </t>
    </r>
    <r>
      <rPr>
        <b/>
        <sz val="9.5"/>
        <color rgb="FF1F1D19"/>
        <rFont val="맑은 고딕"/>
        <family val="3"/>
        <charset val="129"/>
      </rPr>
      <t>(</t>
    </r>
    <r>
      <rPr>
        <b/>
        <sz val="9.5"/>
        <color rgb="FF1F1D19"/>
        <rFont val="Noto Sans CJK SC"/>
        <family val="2"/>
      </rPr>
      <t>종료일 없음</t>
    </r>
    <r>
      <rPr>
        <b/>
        <sz val="9.5"/>
        <color rgb="FF1F1D19"/>
        <rFont val="맑은 고딕"/>
        <family val="3"/>
        <charset val="129"/>
      </rPr>
      <t>)</t>
    </r>
  </si>
  <si>
    <t>운영</t>
  </si>
  <si>
    <t>운영 대응</t>
  </si>
  <si>
    <r>
      <rPr>
        <sz val="9.5"/>
        <color rgb="FF1F1D19"/>
        <rFont val="맑은 고딕"/>
        <family val="3"/>
        <charset val="129"/>
      </rPr>
      <t xml:space="preserve">VOC </t>
    </r>
    <r>
      <rPr>
        <sz val="9.5"/>
        <color rgb="FF1F1D19"/>
        <rFont val="Noto Sans CJK SC"/>
        <family val="2"/>
      </rPr>
      <t>업무 대응</t>
    </r>
  </si>
  <si>
    <r>
      <rPr>
        <sz val="9.5"/>
        <color rgb="FF1F1D19"/>
        <rFont val="Noto Sans CJK SC"/>
        <family val="2"/>
      </rPr>
      <t>강현석</t>
    </r>
    <r>
      <rPr>
        <sz val="9.5"/>
        <color rgb="FF1F1D19"/>
        <rFont val="맑은 고딕"/>
        <family val="3"/>
        <charset val="129"/>
      </rPr>
      <t>·</t>
    </r>
    <r>
      <rPr>
        <sz val="9.5"/>
        <color rgb="FF1F1D19"/>
        <rFont val="Noto Sans CJK SC"/>
        <family val="2"/>
      </rPr>
      <t>박상후</t>
    </r>
    <r>
      <rPr>
        <sz val="9.5"/>
        <color rgb="FF1F1D19"/>
        <rFont val="맑은 고딕"/>
        <family val="3"/>
        <charset val="129"/>
      </rPr>
      <t>·</t>
    </r>
    <r>
      <rPr>
        <sz val="9.5"/>
        <color rgb="FF1F1D19"/>
        <rFont val="Noto Sans CJK SC"/>
        <family val="2"/>
      </rPr>
      <t>정기현</t>
    </r>
    <r>
      <rPr>
        <sz val="9.5"/>
        <color rgb="FF1F1D19"/>
        <rFont val="맑은 고딕"/>
        <family val="3"/>
        <charset val="129"/>
      </rPr>
      <t>(PL)</t>
    </r>
  </si>
  <si>
    <r>
      <rPr>
        <sz val="9.5"/>
        <color rgb="FF1F1D19"/>
        <rFont val="Noto Sans CJK SC"/>
        <family val="2"/>
      </rPr>
      <t>종료일 없음</t>
    </r>
    <r>
      <rPr>
        <sz val="9.5"/>
        <color rgb="FF1F1D19"/>
        <rFont val="맑은 고딕"/>
        <family val="3"/>
        <charset val="129"/>
      </rPr>
      <t>(</t>
    </r>
    <r>
      <rPr>
        <sz val="9.5"/>
        <color rgb="FF1F1D19"/>
        <rFont val="Noto Sans CJK SC"/>
        <family val="2"/>
      </rPr>
      <t>지속</t>
    </r>
    <r>
      <rPr>
        <sz val="9.5"/>
        <color rgb="FF1F1D19"/>
        <rFont val="맑은 고딕"/>
        <family val="3"/>
        <charset val="129"/>
      </rPr>
      <t>)</t>
    </r>
  </si>
  <si>
    <r>
      <rPr>
        <sz val="9.5"/>
        <color rgb="FF1F1D19"/>
        <rFont val="맑은 고딕"/>
        <family val="3"/>
        <charset val="129"/>
      </rPr>
      <t xml:space="preserve">NPS </t>
    </r>
    <r>
      <rPr>
        <sz val="9.5"/>
        <color rgb="FF1F1D19"/>
        <rFont val="Noto Sans CJK SC"/>
        <family val="2"/>
      </rPr>
      <t>개선 대응</t>
    </r>
  </si>
  <si>
    <r>
      <rPr>
        <b/>
        <sz val="14"/>
        <color rgb="FFFFFFFF"/>
        <rFont val="맑은 고딕"/>
        <family val="3"/>
        <charset val="129"/>
      </rPr>
      <t xml:space="preserve">RAG </t>
    </r>
    <r>
      <rPr>
        <b/>
        <sz val="14"/>
        <color rgb="FFFFFFFF"/>
        <rFont val="Noto Sans CJK SC"/>
        <family val="2"/>
      </rPr>
      <t xml:space="preserve">평가 시스템 프로젝트 일정 — </t>
    </r>
    <r>
      <rPr>
        <b/>
        <sz val="14"/>
        <color rgb="FFFFFFFF"/>
        <rFont val="맑은 고딕"/>
        <family val="3"/>
        <charset val="129"/>
      </rPr>
      <t xml:space="preserve">Plan A-1 (Plan A + </t>
    </r>
    <r>
      <rPr>
        <b/>
        <sz val="14"/>
        <color rgb="FFFFFFFF"/>
        <rFont val="Noto Sans CJK SC"/>
        <family val="2"/>
      </rPr>
      <t xml:space="preserve">신규 개발자 </t>
    </r>
    <r>
      <rPr>
        <b/>
        <sz val="14"/>
        <color rgb="FFFFFFFF"/>
        <rFont val="맑은 고딕"/>
        <family val="3"/>
        <charset val="129"/>
      </rPr>
      <t>2</t>
    </r>
    <r>
      <rPr>
        <b/>
        <sz val="14"/>
        <color rgb="FFFFFFFF"/>
        <rFont val="Noto Sans CJK SC"/>
        <family val="2"/>
      </rPr>
      <t>명</t>
    </r>
    <r>
      <rPr>
        <b/>
        <sz val="14"/>
        <color rgb="FFFFFFFF"/>
        <rFont val="맑은 고딕"/>
        <family val="3"/>
        <charset val="129"/>
      </rPr>
      <t>)</t>
    </r>
  </si>
  <si>
    <r>
      <rPr>
        <i/>
        <sz val="8.6"/>
        <color rgb="FF6B675F"/>
        <rFont val="맑은 고딕"/>
        <family val="3"/>
        <charset val="129"/>
      </rPr>
      <t>Plan A-1</t>
    </r>
    <r>
      <rPr>
        <i/>
        <sz val="8.6"/>
        <color rgb="FF6B675F"/>
        <rFont val="Noto Sans CJK SC"/>
        <family val="2"/>
      </rPr>
      <t xml:space="preserve">은 </t>
    </r>
    <r>
      <rPr>
        <i/>
        <sz val="8.6"/>
        <color rgb="FF6B675F"/>
        <rFont val="맑은 고딕"/>
        <family val="3"/>
        <charset val="129"/>
      </rPr>
      <t>Plan A</t>
    </r>
    <r>
      <rPr>
        <i/>
        <sz val="8.6"/>
        <color rgb="FF6B675F"/>
        <rFont val="Noto Sans CJK SC"/>
        <family val="2"/>
      </rPr>
      <t xml:space="preserve">의 </t>
    </r>
    <r>
      <rPr>
        <i/>
        <sz val="8.6"/>
        <color rgb="FF6B675F"/>
        <rFont val="맑은 고딕"/>
        <family val="3"/>
        <charset val="129"/>
      </rPr>
      <t xml:space="preserve">No.5~10 </t>
    </r>
    <r>
      <rPr>
        <i/>
        <sz val="8.6"/>
        <color rgb="FF6B675F"/>
        <rFont val="Noto Sans CJK SC"/>
        <family val="2"/>
      </rPr>
      <t>구간에 신규 개발자</t>
    </r>
    <r>
      <rPr>
        <i/>
        <sz val="8.6"/>
        <color rgb="FF6B675F"/>
        <rFont val="맑은 고딕"/>
        <family val="3"/>
        <charset val="129"/>
      </rPr>
      <t>1·</t>
    </r>
    <r>
      <rPr>
        <i/>
        <sz val="8.6"/>
        <color rgb="FF6B675F"/>
        <rFont val="Noto Sans CJK SC"/>
        <family val="2"/>
      </rPr>
      <t>개발자</t>
    </r>
    <r>
      <rPr>
        <i/>
        <sz val="8.6"/>
        <color rgb="FF6B675F"/>
        <rFont val="맑은 고딕"/>
        <family val="3"/>
        <charset val="129"/>
      </rPr>
      <t>2</t>
    </r>
    <r>
      <rPr>
        <i/>
        <sz val="8.6"/>
        <color rgb="FF6B675F"/>
        <rFont val="Noto Sans CJK SC"/>
        <family val="2"/>
      </rPr>
      <t>를 추가 투입하는 대안입니다</t>
    </r>
    <r>
      <rPr>
        <i/>
        <sz val="8.6"/>
        <color rgb="FF6B675F"/>
        <rFont val="맑은 고딕"/>
        <family val="3"/>
        <charset val="129"/>
      </rPr>
      <t xml:space="preserve">. </t>
    </r>
    <r>
      <rPr>
        <i/>
        <sz val="8.6"/>
        <color rgb="FF6B675F"/>
        <rFont val="Noto Sans CJK SC"/>
        <family val="2"/>
      </rPr>
      <t>두 사람이 로그 분석기</t>
    </r>
    <r>
      <rPr>
        <i/>
        <sz val="8.6"/>
        <color rgb="FF6B675F"/>
        <rFont val="맑은 고딕"/>
        <family val="3"/>
        <charset val="129"/>
      </rPr>
      <t>(4</t>
    </r>
    <r>
      <rPr>
        <i/>
        <sz val="8.6"/>
        <color rgb="FF6B675F"/>
        <rFont val="Noto Sans CJK SC"/>
        <family val="2"/>
      </rPr>
      <t>주</t>
    </r>
    <r>
      <rPr>
        <i/>
        <sz val="8.6"/>
        <color rgb="FF6B675F"/>
        <rFont val="맑은 고딕"/>
        <family val="3"/>
        <charset val="129"/>
      </rPr>
      <t>)</t>
    </r>
    <r>
      <rPr>
        <i/>
        <sz val="8.6"/>
        <color rgb="FF6B675F"/>
        <rFont val="Noto Sans CJK SC"/>
        <family val="2"/>
      </rPr>
      <t>를 진단 및 분석</t>
    </r>
    <r>
      <rPr>
        <i/>
        <sz val="8.6"/>
        <color rgb="FF6B675F"/>
        <rFont val="맑은 고딕"/>
        <family val="3"/>
        <charset val="129"/>
      </rPr>
      <t xml:space="preserve">/AI Friendly </t>
    </r>
    <r>
      <rPr>
        <i/>
        <sz val="8.6"/>
        <color rgb="FF6B675F"/>
        <rFont val="Noto Sans CJK SC"/>
        <family val="2"/>
      </rPr>
      <t>컨텐츠 검증과 동시에 처리해</t>
    </r>
    <r>
      <rPr>
        <i/>
        <sz val="8.6"/>
        <color rgb="FF6B675F"/>
        <rFont val="맑은 고딕"/>
        <family val="3"/>
        <charset val="129"/>
      </rPr>
      <t xml:space="preserve">, </t>
    </r>
    <r>
      <rPr>
        <i/>
        <sz val="8.6"/>
        <color rgb="FF6B675F"/>
        <rFont val="Noto Sans CJK SC"/>
        <family val="2"/>
      </rPr>
      <t>기존에 평가</t>
    </r>
    <r>
      <rPr>
        <i/>
        <sz val="8.6"/>
        <color rgb="FF6B675F"/>
        <rFont val="맑은 고딕"/>
        <family val="3"/>
        <charset val="129"/>
      </rPr>
      <t>/</t>
    </r>
    <r>
      <rPr>
        <i/>
        <sz val="8.6"/>
        <color rgb="FF6B675F"/>
        <rFont val="Noto Sans CJK SC"/>
        <family val="2"/>
      </rPr>
      <t xml:space="preserve">튜닝 뒤로 밀려 있던 </t>
    </r>
    <r>
      <rPr>
        <i/>
        <sz val="8.6"/>
        <color rgb="FF6B675F"/>
        <rFont val="맑은 고딕"/>
        <family val="3"/>
        <charset val="129"/>
      </rPr>
      <t>4</t>
    </r>
    <r>
      <rPr>
        <i/>
        <sz val="8.6"/>
        <color rgb="FF6B675F"/>
        <rFont val="Noto Sans CJK SC"/>
        <family val="2"/>
      </rPr>
      <t>주를 줄였습니다</t>
    </r>
    <r>
      <rPr>
        <i/>
        <sz val="8.6"/>
        <color rgb="FF6B675F"/>
        <rFont val="맑은 고딕"/>
        <family val="3"/>
        <charset val="129"/>
      </rPr>
      <t xml:space="preserve">. </t>
    </r>
    <r>
      <rPr>
        <i/>
        <sz val="8.6"/>
        <color rgb="FF6B675F"/>
        <rFont val="Noto Sans CJK SC"/>
        <family val="2"/>
      </rPr>
      <t xml:space="preserve">최종 종료일은 </t>
    </r>
    <r>
      <rPr>
        <i/>
        <sz val="8.6"/>
        <color rgb="FF6B675F"/>
        <rFont val="맑은 고딕"/>
        <family val="3"/>
        <charset val="129"/>
      </rPr>
      <t>4/12</t>
    </r>
    <r>
      <rPr>
        <i/>
        <sz val="8.6"/>
        <color rgb="FF6B675F"/>
        <rFont val="Noto Sans CJK SC"/>
        <family val="2"/>
      </rPr>
      <t>경으로 목표</t>
    </r>
    <r>
      <rPr>
        <i/>
        <sz val="8.6"/>
        <color rgb="FF6B675F"/>
        <rFont val="맑은 고딕"/>
        <family val="3"/>
        <charset val="129"/>
      </rPr>
      <t xml:space="preserve">(3/15) </t>
    </r>
    <r>
      <rPr>
        <i/>
        <sz val="8.6"/>
        <color rgb="FF6B675F"/>
        <rFont val="Noto Sans CJK SC"/>
        <family val="2"/>
      </rPr>
      <t xml:space="preserve">대비 약 </t>
    </r>
    <r>
      <rPr>
        <i/>
        <sz val="8.6"/>
        <color rgb="FF6B675F"/>
        <rFont val="맑은 고딕"/>
        <family val="3"/>
        <charset val="129"/>
      </rPr>
      <t>4</t>
    </r>
    <r>
      <rPr>
        <i/>
        <sz val="8.6"/>
        <color rgb="FF6B675F"/>
        <rFont val="Noto Sans CJK SC"/>
        <family val="2"/>
      </rPr>
      <t xml:space="preserve">주 초과 — </t>
    </r>
    <r>
      <rPr>
        <i/>
        <sz val="8.6"/>
        <color rgb="FF6B675F"/>
        <rFont val="맑은 고딕"/>
        <family val="3"/>
        <charset val="129"/>
      </rPr>
      <t>Plan A(5/10, 8</t>
    </r>
    <r>
      <rPr>
        <i/>
        <sz val="8.6"/>
        <color rgb="FF6B675F"/>
        <rFont val="Noto Sans CJK SC"/>
        <family val="2"/>
      </rPr>
      <t>주 초과</t>
    </r>
    <r>
      <rPr>
        <i/>
        <sz val="8.6"/>
        <color rgb="FF6B675F"/>
        <rFont val="맑은 고딕"/>
        <family val="3"/>
        <charset val="129"/>
      </rPr>
      <t xml:space="preserve">) </t>
    </r>
    <r>
      <rPr>
        <i/>
        <sz val="8.6"/>
        <color rgb="FF6B675F"/>
        <rFont val="Noto Sans CJK SC"/>
        <family val="2"/>
      </rPr>
      <t xml:space="preserve">보다 </t>
    </r>
    <r>
      <rPr>
        <i/>
        <sz val="8.6"/>
        <color rgb="FF6B675F"/>
        <rFont val="맑은 고딕"/>
        <family val="3"/>
        <charset val="129"/>
      </rPr>
      <t>4</t>
    </r>
    <r>
      <rPr>
        <i/>
        <sz val="8.6"/>
        <color rgb="FF6B675F"/>
        <rFont val="Noto Sans CJK SC"/>
        <family val="2"/>
      </rPr>
      <t>주 단축됩니다</t>
    </r>
    <r>
      <rPr>
        <i/>
        <sz val="8.6"/>
        <color rgb="FF6B675F"/>
        <rFont val="맑은 고딕"/>
        <family val="3"/>
        <charset val="129"/>
      </rPr>
      <t xml:space="preserve">. </t>
    </r>
    <r>
      <rPr>
        <i/>
        <sz val="8.6"/>
        <color rgb="FF6B675F"/>
        <rFont val="Noto Sans CJK SC"/>
        <family val="2"/>
      </rPr>
      <t>기간</t>
    </r>
    <r>
      <rPr>
        <i/>
        <sz val="8.6"/>
        <color rgb="FF6B675F"/>
        <rFont val="맑은 고딕"/>
        <family val="3"/>
        <charset val="129"/>
      </rPr>
      <t>(</t>
    </r>
    <r>
      <rPr>
        <i/>
        <sz val="8.6"/>
        <color rgb="FF6B675F"/>
        <rFont val="Noto Sans CJK SC"/>
        <family val="2"/>
      </rPr>
      <t>주</t>
    </r>
    <r>
      <rPr>
        <i/>
        <sz val="8.6"/>
        <color rgb="FF6B675F"/>
        <rFont val="맑은 고딕"/>
        <family val="3"/>
        <charset val="129"/>
      </rPr>
      <t xml:space="preserve">) </t>
    </r>
    <r>
      <rPr>
        <i/>
        <sz val="8.6"/>
        <color rgb="FF6B675F"/>
        <rFont val="Noto Sans CJK SC"/>
        <family val="2"/>
      </rPr>
      <t>숫자만 바꾸면 전체 일정이 자동 갱신됩니다</t>
    </r>
    <r>
      <rPr>
        <i/>
        <sz val="8.6"/>
        <color rgb="FF6B675F"/>
        <rFont val="맑은 고딕"/>
        <family val="3"/>
        <charset val="129"/>
      </rPr>
      <t>.</t>
    </r>
  </si>
  <si>
    <r>
      <rPr>
        <b/>
        <sz val="9.5"/>
        <color rgb="FF1F1D19"/>
        <rFont val="Noto Sans CJK SC"/>
        <family val="2"/>
      </rPr>
      <t xml:space="preserve">개발 </t>
    </r>
    <r>
      <rPr>
        <b/>
        <sz val="9.5"/>
        <color rgb="FF1F1D19"/>
        <rFont val="맑은 고딕"/>
        <family val="3"/>
        <charset val="129"/>
      </rPr>
      <t>2</t>
    </r>
    <r>
      <rPr>
        <b/>
        <sz val="9.5"/>
        <color rgb="FF1F1D19"/>
        <rFont val="Noto Sans CJK SC"/>
        <family val="2"/>
      </rPr>
      <t xml:space="preserve">단계 </t>
    </r>
    <r>
      <rPr>
        <b/>
        <sz val="9.5"/>
        <color rgb="FF1F1D19"/>
        <rFont val="맑은 고딕"/>
        <family val="3"/>
        <charset val="129"/>
      </rPr>
      <t>(9</t>
    </r>
    <r>
      <rPr>
        <b/>
        <sz val="9.5"/>
        <color rgb="FF1F1D19"/>
        <rFont val="Noto Sans CJK SC"/>
        <family val="2"/>
      </rPr>
      <t xml:space="preserve">월 시작 </t>
    </r>
    <r>
      <rPr>
        <b/>
        <sz val="9.5"/>
        <color rgb="FF1F1D19"/>
        <rFont val="맑은 고딕"/>
        <family val="3"/>
        <charset val="129"/>
      </rPr>
      <t xml:space="preserve">· </t>
    </r>
    <r>
      <rPr>
        <b/>
        <sz val="9.5"/>
        <color rgb="FF1F1D19"/>
        <rFont val="Noto Sans CJK SC"/>
        <family val="2"/>
      </rPr>
      <t>신규 개발자 합류</t>
    </r>
    <r>
      <rPr>
        <b/>
        <sz val="9.5"/>
        <color rgb="FF1F1D19"/>
        <rFont val="맑은 고딕"/>
        <family val="3"/>
        <charset val="129"/>
      </rPr>
      <t>)</t>
    </r>
  </si>
  <si>
    <t>신규 개발자 동시 투입</t>
  </si>
  <si>
    <r>
      <rPr>
        <sz val="9.5"/>
        <color rgb="FF1F1D19"/>
        <rFont val="Noto Sans CJK SC"/>
        <family val="2"/>
      </rPr>
      <t>개발자</t>
    </r>
    <r>
      <rPr>
        <sz val="9.5"/>
        <color rgb="FF1F1D19"/>
        <rFont val="맑은 고딕"/>
        <family val="3"/>
        <charset val="129"/>
      </rPr>
      <t>1·</t>
    </r>
    <r>
      <rPr>
        <sz val="9.5"/>
        <color rgb="FF1F1D19"/>
        <rFont val="Noto Sans CJK SC"/>
        <family val="2"/>
      </rPr>
      <t>개발자</t>
    </r>
    <r>
      <rPr>
        <sz val="9.5"/>
        <color rgb="FF1F1D19"/>
        <rFont val="맑은 고딕"/>
        <family val="3"/>
        <charset val="129"/>
      </rPr>
      <t>2(</t>
    </r>
    <r>
      <rPr>
        <sz val="9.5"/>
        <color rgb="FF1F1D19"/>
        <rFont val="Noto Sans CJK SC"/>
        <family val="2"/>
      </rPr>
      <t>신규</t>
    </r>
    <r>
      <rPr>
        <sz val="9.5"/>
        <color rgb="FF1F1D19"/>
        <rFont val="맑은 고딕"/>
        <family val="3"/>
        <charset val="129"/>
      </rPr>
      <t>)</t>
    </r>
  </si>
  <si>
    <r>
      <rPr>
        <sz val="9.5"/>
        <color rgb="FF1F1D19"/>
        <rFont val="Noto Sans CJK SC"/>
        <family val="2"/>
      </rPr>
      <t>진단 및 분석</t>
    </r>
    <r>
      <rPr>
        <sz val="9.5"/>
        <color rgb="FF1F1D19"/>
        <rFont val="맑은 고딕"/>
        <family val="3"/>
        <charset val="129"/>
      </rPr>
      <t>/AI Friendly</t>
    </r>
    <r>
      <rPr>
        <sz val="9.5"/>
        <color rgb="FF1F1D19"/>
        <rFont val="Noto Sans CJK SC"/>
        <family val="2"/>
      </rPr>
      <t>와 동시 진행 — 평가</t>
    </r>
    <r>
      <rPr>
        <sz val="9.5"/>
        <color rgb="FF1F1D19"/>
        <rFont val="맑은 고딕"/>
        <family val="3"/>
        <charset val="129"/>
      </rPr>
      <t>/</t>
    </r>
    <r>
      <rPr>
        <sz val="9.5"/>
        <color rgb="FF1F1D19"/>
        <rFont val="Noto Sans CJK SC"/>
        <family val="2"/>
      </rPr>
      <t>튜닝 대기 없이 선처리</t>
    </r>
  </si>
  <si>
    <r>
      <rPr>
        <sz val="9.5"/>
        <color rgb="FF1F1D19"/>
        <rFont val="Noto Sans CJK SC"/>
        <family val="2"/>
      </rPr>
      <t xml:space="preserve">공통 단계 </t>
    </r>
    <r>
      <rPr>
        <sz val="9.5"/>
        <color rgb="FF1F1D19"/>
        <rFont val="맑은 고딕"/>
        <family val="3"/>
        <charset val="129"/>
      </rPr>
      <t>(</t>
    </r>
    <r>
      <rPr>
        <sz val="9.5"/>
        <color rgb="FF1F1D19"/>
        <rFont val="Noto Sans CJK SC"/>
        <family val="2"/>
      </rPr>
      <t>로그분석기는 이미 완료</t>
    </r>
    <r>
      <rPr>
        <sz val="9.5"/>
        <color rgb="FF1F1D19"/>
        <rFont val="맑은 고딕"/>
        <family val="3"/>
        <charset val="129"/>
      </rPr>
      <t>)</t>
    </r>
  </si>
  <si>
    <r>
      <rPr>
        <b/>
        <sz val="14"/>
        <color rgb="FFFFFFFF"/>
        <rFont val="맑은 고딕"/>
        <family val="3"/>
        <charset val="129"/>
      </rPr>
      <t xml:space="preserve">RAG </t>
    </r>
    <r>
      <rPr>
        <b/>
        <sz val="14"/>
        <color rgb="FFFFFFFF"/>
        <rFont val="Noto Sans CJK SC"/>
        <family val="2"/>
      </rPr>
      <t xml:space="preserve">평가 시스템 프로젝트 일정 — </t>
    </r>
    <r>
      <rPr>
        <b/>
        <sz val="14"/>
        <color rgb="FFFFFFFF"/>
        <rFont val="맑은 고딕"/>
        <family val="3"/>
        <charset val="129"/>
      </rPr>
      <t>Plan B (</t>
    </r>
    <r>
      <rPr>
        <b/>
        <sz val="14"/>
        <color rgb="FFFFFFFF"/>
        <rFont val="Noto Sans CJK SC"/>
        <family val="2"/>
      </rPr>
      <t xml:space="preserve">동시 배치 </t>
    </r>
    <r>
      <rPr>
        <b/>
        <sz val="14"/>
        <color rgb="FFFFFFFF"/>
        <rFont val="맑은 고딕"/>
        <family val="3"/>
        <charset val="129"/>
      </rPr>
      <t>· 2</t>
    </r>
    <r>
      <rPr>
        <b/>
        <sz val="14"/>
        <color rgb="FFFFFFFF"/>
        <rFont val="Noto Sans CJK SC"/>
        <family val="2"/>
      </rPr>
      <t>트랙 동시 진행</t>
    </r>
    <r>
      <rPr>
        <b/>
        <sz val="14"/>
        <color rgb="FFFFFFFF"/>
        <rFont val="맑은 고딕"/>
        <family val="3"/>
        <charset val="129"/>
      </rPr>
      <t>)</t>
    </r>
  </si>
  <si>
    <r>
      <rPr>
        <i/>
        <sz val="8.6"/>
        <color rgb="FF6B675F"/>
        <rFont val="Noto Sans CJK SC"/>
        <family val="2"/>
      </rPr>
      <t>⚠ 표의 주 단위 차트 범위는 목표 마감일</t>
    </r>
    <r>
      <rPr>
        <i/>
        <sz val="8.6"/>
        <color rgb="FF6B675F"/>
        <rFont val="맑은 고딕"/>
        <family val="3"/>
        <charset val="129"/>
      </rPr>
      <t>(3/15)</t>
    </r>
    <r>
      <rPr>
        <i/>
        <sz val="8.6"/>
        <color rgb="FF6B675F"/>
        <rFont val="Noto Sans CJK SC"/>
        <family val="2"/>
      </rPr>
      <t>까지로 고정했습니다</t>
    </r>
    <r>
      <rPr>
        <i/>
        <sz val="8.6"/>
        <color rgb="FF6B675F"/>
        <rFont val="맑은 고딕"/>
        <family val="3"/>
        <charset val="129"/>
      </rPr>
      <t xml:space="preserve">. </t>
    </r>
    <r>
      <rPr>
        <i/>
        <sz val="8.6"/>
        <color rgb="FF6B675F"/>
        <rFont val="Noto Sans CJK SC"/>
        <family val="2"/>
      </rPr>
      <t xml:space="preserve">신규 인력 </t>
    </r>
    <r>
      <rPr>
        <i/>
        <sz val="8.6"/>
        <color rgb="FF6B675F"/>
        <rFont val="맑은 고딕"/>
        <family val="3"/>
        <charset val="129"/>
      </rPr>
      <t>2</t>
    </r>
    <r>
      <rPr>
        <i/>
        <sz val="8.6"/>
        <color rgb="FF6B675F"/>
        <rFont val="Noto Sans CJK SC"/>
        <family val="2"/>
      </rPr>
      <t xml:space="preserve">명은 진단 그룹까지 </t>
    </r>
    <r>
      <rPr>
        <i/>
        <sz val="8.6"/>
        <color rgb="FF6B675F"/>
        <rFont val="맑은 고딕"/>
        <family val="3"/>
        <charset val="129"/>
      </rPr>
      <t>12/18</t>
    </r>
    <r>
      <rPr>
        <i/>
        <sz val="8.6"/>
        <color rgb="FF6B675F"/>
        <rFont val="Noto Sans CJK SC"/>
        <family val="2"/>
      </rPr>
      <t>에 모두 마쳐 퇴사일</t>
    </r>
    <r>
      <rPr>
        <i/>
        <sz val="8.6"/>
        <color rgb="FF6B675F"/>
        <rFont val="맑은 고딕"/>
        <family val="3"/>
        <charset val="129"/>
      </rPr>
      <t xml:space="preserve">(12/31) </t>
    </r>
    <r>
      <rPr>
        <i/>
        <sz val="8.6"/>
        <color rgb="FF6B675F"/>
        <rFont val="Noto Sans CJK SC"/>
        <family val="2"/>
      </rPr>
      <t>이내 완료되지만</t>
    </r>
    <r>
      <rPr>
        <i/>
        <sz val="8.6"/>
        <color rgb="FF6B675F"/>
        <rFont val="맑은 고딕"/>
        <family val="3"/>
        <charset val="129"/>
      </rPr>
      <t xml:space="preserve">, </t>
    </r>
    <r>
      <rPr>
        <i/>
        <sz val="8.6"/>
        <color rgb="FF6B675F"/>
        <rFont val="Noto Sans CJK SC"/>
        <family val="2"/>
      </rPr>
      <t>평가 및 튜닝부터 이어지는 로그 분석기</t>
    </r>
    <r>
      <rPr>
        <i/>
        <sz val="8.6"/>
        <color rgb="FF6B675F"/>
        <rFont val="맑은 고딕"/>
        <family val="3"/>
        <charset val="129"/>
      </rPr>
      <t>·</t>
    </r>
    <r>
      <rPr>
        <i/>
        <sz val="8.6"/>
        <color rgb="FF6B675F"/>
        <rFont val="Noto Sans CJK SC"/>
        <family val="2"/>
      </rPr>
      <t>연동</t>
    </r>
    <r>
      <rPr>
        <i/>
        <sz val="8.6"/>
        <color rgb="FF6B675F"/>
        <rFont val="맑은 고딕"/>
        <family val="3"/>
        <charset val="129"/>
      </rPr>
      <t>/</t>
    </r>
    <r>
      <rPr>
        <i/>
        <sz val="8.6"/>
        <color rgb="FF6B675F"/>
        <rFont val="Noto Sans CJK SC"/>
        <family val="2"/>
      </rPr>
      <t>테스트</t>
    </r>
    <r>
      <rPr>
        <i/>
        <sz val="8.6"/>
        <color rgb="FF6B675F"/>
        <rFont val="맑은 고딕"/>
        <family val="3"/>
        <charset val="129"/>
      </rPr>
      <t>·</t>
    </r>
    <r>
      <rPr>
        <i/>
        <sz val="8.6"/>
        <color rgb="FF6B675F"/>
        <rFont val="Noto Sans CJK SC"/>
        <family val="2"/>
      </rPr>
      <t>배포</t>
    </r>
    <r>
      <rPr>
        <i/>
        <sz val="8.6"/>
        <color rgb="FF6B675F"/>
        <rFont val="맑은 고딕"/>
        <family val="3"/>
        <charset val="129"/>
      </rPr>
      <t>/</t>
    </r>
    <r>
      <rPr>
        <i/>
        <sz val="8.6"/>
        <color rgb="FF6B675F"/>
        <rFont val="Noto Sans CJK SC"/>
        <family val="2"/>
      </rPr>
      <t>안정화</t>
    </r>
    <r>
      <rPr>
        <i/>
        <sz val="8.6"/>
        <color rgb="FF6B675F"/>
        <rFont val="맑은 고딕"/>
        <family val="3"/>
        <charset val="129"/>
      </rPr>
      <t>(</t>
    </r>
    <r>
      <rPr>
        <i/>
        <sz val="8.6"/>
        <color rgb="FF6B675F"/>
        <rFont val="Noto Sans CJK SC"/>
        <family val="2"/>
      </rPr>
      <t xml:space="preserve">총 </t>
    </r>
    <r>
      <rPr>
        <i/>
        <sz val="8.6"/>
        <color rgb="FF6B675F"/>
        <rFont val="맑은 고딕"/>
        <family val="3"/>
        <charset val="129"/>
      </rPr>
      <t>18</t>
    </r>
    <r>
      <rPr>
        <i/>
        <sz val="8.6"/>
        <color rgb="FF6B675F"/>
        <rFont val="Noto Sans CJK SC"/>
        <family val="2"/>
      </rPr>
      <t>주</t>
    </r>
    <r>
      <rPr>
        <i/>
        <sz val="8.6"/>
        <color rgb="FF6B675F"/>
        <rFont val="맑은 고딕"/>
        <family val="3"/>
        <charset val="129"/>
      </rPr>
      <t xml:space="preserve">, ~5/7 </t>
    </r>
    <r>
      <rPr>
        <i/>
        <sz val="8.6"/>
        <color rgb="FF6B675F"/>
        <rFont val="Noto Sans CJK SC"/>
        <family val="2"/>
      </rPr>
      <t>종료</t>
    </r>
    <r>
      <rPr>
        <i/>
        <sz val="8.6"/>
        <color rgb="FF6B675F"/>
        <rFont val="맑은 고딕"/>
        <family val="3"/>
        <charset val="129"/>
      </rPr>
      <t>)</t>
    </r>
    <r>
      <rPr>
        <i/>
        <sz val="8.6"/>
        <color rgb="FF6B675F"/>
        <rFont val="Noto Sans CJK SC"/>
        <family val="2"/>
      </rPr>
      <t>는 차트 범위 밖이라 막대가 보이지 않습니다 — 정확한 날짜는 종료일 칸을 참고하세요</t>
    </r>
    <r>
      <rPr>
        <i/>
        <sz val="8.6"/>
        <color rgb="FF6B675F"/>
        <rFont val="맑은 고딕"/>
        <family val="3"/>
        <charset val="129"/>
      </rPr>
      <t xml:space="preserve">. NPS </t>
    </r>
    <r>
      <rPr>
        <i/>
        <sz val="8.6"/>
        <color rgb="FF6B675F"/>
        <rFont val="Noto Sans CJK SC"/>
        <family val="2"/>
      </rPr>
      <t xml:space="preserve">분석 기능은 </t>
    </r>
    <r>
      <rPr>
        <i/>
        <sz val="8.6"/>
        <color rgb="FF6B675F"/>
        <rFont val="맑은 고딕"/>
        <family val="3"/>
        <charset val="129"/>
      </rPr>
      <t>Cache RAG 1</t>
    </r>
    <r>
      <rPr>
        <i/>
        <sz val="8.6"/>
        <color rgb="FF6B675F"/>
        <rFont val="Noto Sans CJK SC"/>
        <family val="2"/>
      </rPr>
      <t>단계와 같은 기간</t>
    </r>
    <r>
      <rPr>
        <i/>
        <sz val="8.6"/>
        <color rgb="FF6B675F"/>
        <rFont val="맑은 고딕"/>
        <family val="3"/>
        <charset val="129"/>
      </rPr>
      <t>(6/1~8/31)</t>
    </r>
    <r>
      <rPr>
        <i/>
        <sz val="8.6"/>
        <color rgb="FF6B675F"/>
        <rFont val="Noto Sans CJK SC"/>
        <family val="2"/>
      </rPr>
      <t>에 배치해 두 항목 중 우선순위를 선택할 수 있도록 했습니다</t>
    </r>
    <r>
      <rPr>
        <i/>
        <sz val="8.6"/>
        <color rgb="FF6B675F"/>
        <rFont val="맑은 고딕"/>
        <family val="3"/>
        <charset val="129"/>
      </rPr>
      <t xml:space="preserve">. </t>
    </r>
    <r>
      <rPr>
        <i/>
        <sz val="8.6"/>
        <color rgb="FF6B675F"/>
        <rFont val="Noto Sans CJK SC"/>
        <family val="2"/>
      </rPr>
      <t>기간</t>
    </r>
    <r>
      <rPr>
        <i/>
        <sz val="8.6"/>
        <color rgb="FF6B675F"/>
        <rFont val="맑은 고딕"/>
        <family val="3"/>
        <charset val="129"/>
      </rPr>
      <t>(</t>
    </r>
    <r>
      <rPr>
        <i/>
        <sz val="8.6"/>
        <color rgb="FF6B675F"/>
        <rFont val="Noto Sans CJK SC"/>
        <family val="2"/>
      </rPr>
      <t>주</t>
    </r>
    <r>
      <rPr>
        <i/>
        <sz val="8.6"/>
        <color rgb="FF6B675F"/>
        <rFont val="맑은 고딕"/>
        <family val="3"/>
        <charset val="129"/>
      </rPr>
      <t xml:space="preserve">) </t>
    </r>
    <r>
      <rPr>
        <i/>
        <sz val="8.6"/>
        <color rgb="FF6B675F"/>
        <rFont val="Noto Sans CJK SC"/>
        <family val="2"/>
      </rPr>
      <t>숫자만 바꾸면 전체 일정이 자동 갱신됩니다</t>
    </r>
    <r>
      <rPr>
        <i/>
        <sz val="8.6"/>
        <color rgb="FF6B675F"/>
        <rFont val="맑은 고딕"/>
        <family val="3"/>
        <charset val="129"/>
      </rPr>
      <t>.</t>
    </r>
  </si>
  <si>
    <r>
      <rPr>
        <i/>
        <sz val="8.6"/>
        <color rgb="FF6B5B95"/>
        <rFont val="Noto Sans CJK SC"/>
        <family val="2"/>
      </rPr>
      <t xml:space="preserve">신규 인력 재직기간 </t>
    </r>
    <r>
      <rPr>
        <i/>
        <sz val="8.6"/>
        <color rgb="FF6B5B95"/>
        <rFont val="맑은 고딕"/>
        <family val="3"/>
        <charset val="129"/>
      </rPr>
      <t>(8/1 ~ 12/31)</t>
    </r>
  </si>
  <si>
    <r>
      <rPr>
        <b/>
        <sz val="9.5"/>
        <color rgb="FF1F1D19"/>
        <rFont val="Noto Sans CJK SC"/>
        <family val="2"/>
      </rPr>
      <t xml:space="preserve">개발 </t>
    </r>
    <r>
      <rPr>
        <b/>
        <sz val="9.5"/>
        <color rgb="FF1F1D19"/>
        <rFont val="맑은 고딕"/>
        <family val="3"/>
        <charset val="129"/>
      </rPr>
      <t>2</t>
    </r>
    <r>
      <rPr>
        <b/>
        <sz val="9.5"/>
        <color rgb="FF1F1D19"/>
        <rFont val="Noto Sans CJK SC"/>
        <family val="2"/>
      </rPr>
      <t xml:space="preserve">단계 </t>
    </r>
    <r>
      <rPr>
        <b/>
        <sz val="9.5"/>
        <color rgb="FF1F1D19"/>
        <rFont val="맑은 고딕"/>
        <family val="3"/>
        <charset val="129"/>
      </rPr>
      <t>(8</t>
    </r>
    <r>
      <rPr>
        <b/>
        <sz val="9.5"/>
        <color rgb="FF1F1D19"/>
        <rFont val="Noto Sans CJK SC"/>
        <family val="2"/>
      </rPr>
      <t xml:space="preserve">월 시작 </t>
    </r>
    <r>
      <rPr>
        <b/>
        <sz val="9.5"/>
        <color rgb="FF1F1D19"/>
        <rFont val="맑은 고딕"/>
        <family val="3"/>
        <charset val="129"/>
      </rPr>
      <t xml:space="preserve">· </t>
    </r>
    <r>
      <rPr>
        <b/>
        <sz val="9.5"/>
        <color rgb="FF1F1D19"/>
        <rFont val="Noto Sans CJK SC"/>
        <family val="2"/>
      </rPr>
      <t xml:space="preserve">신규인력 </t>
    </r>
    <r>
      <rPr>
        <b/>
        <sz val="9.5"/>
        <color rgb="FF1F1D19"/>
        <rFont val="맑은 고딕"/>
        <family val="3"/>
        <charset val="129"/>
      </rPr>
      <t>2</t>
    </r>
    <r>
      <rPr>
        <b/>
        <sz val="9.5"/>
        <color rgb="FF1F1D19"/>
        <rFont val="Noto Sans CJK SC"/>
        <family val="2"/>
      </rPr>
      <t>명</t>
    </r>
    <r>
      <rPr>
        <b/>
        <sz val="9.5"/>
        <color rgb="FF1F1D19"/>
        <rFont val="맑은 고딕"/>
        <family val="3"/>
        <charset val="129"/>
      </rPr>
      <t>)</t>
    </r>
  </si>
  <si>
    <r>
      <rPr>
        <sz val="9.5"/>
        <color rgb="FF1F1D19"/>
        <rFont val="Noto Sans CJK SC"/>
        <family val="2"/>
      </rPr>
      <t>공통</t>
    </r>
    <r>
      <rPr>
        <sz val="9.5"/>
        <color rgb="FF1F1D19"/>
        <rFont val="맑은 고딕"/>
        <family val="3"/>
        <charset val="129"/>
      </rPr>
      <t>(</t>
    </r>
    <r>
      <rPr>
        <sz val="9.5"/>
        <color rgb="FF1F1D19"/>
        <rFont val="Noto Sans CJK SC"/>
        <family val="2"/>
      </rPr>
      <t xml:space="preserve">신규인력 </t>
    </r>
    <r>
      <rPr>
        <sz val="9.5"/>
        <color rgb="FF1F1D19"/>
        <rFont val="맑은 고딕"/>
        <family val="3"/>
        <charset val="129"/>
      </rPr>
      <t>2</t>
    </r>
    <r>
      <rPr>
        <sz val="9.5"/>
        <color rgb="FF1F1D19"/>
        <rFont val="Noto Sans CJK SC"/>
        <family val="2"/>
      </rPr>
      <t>명</t>
    </r>
    <r>
      <rPr>
        <sz val="9.5"/>
        <color rgb="FF1F1D19"/>
        <rFont val="맑은 고딕"/>
        <family val="3"/>
        <charset val="129"/>
      </rPr>
      <t>)</t>
    </r>
  </si>
  <si>
    <r>
      <rPr>
        <sz val="9.5"/>
        <color rgb="FF1F1D19"/>
        <rFont val="Noto Sans CJK SC"/>
        <family val="2"/>
      </rPr>
      <t>환경</t>
    </r>
    <r>
      <rPr>
        <sz val="9.5"/>
        <color rgb="FF1F1D19"/>
        <rFont val="맑은 고딕"/>
        <family val="3"/>
        <charset val="129"/>
      </rPr>
      <t>/</t>
    </r>
    <r>
      <rPr>
        <sz val="9.5"/>
        <color rgb="FF1F1D19"/>
        <rFont val="Noto Sans CJK SC"/>
        <family val="2"/>
      </rPr>
      <t>세팅</t>
    </r>
  </si>
  <si>
    <r>
      <rPr>
        <sz val="9.5"/>
        <color rgb="FF1F1D19"/>
        <rFont val="Noto Sans CJK SC"/>
        <family val="2"/>
      </rPr>
      <t xml:space="preserve">신규 인력 </t>
    </r>
    <r>
      <rPr>
        <sz val="9.5"/>
        <color rgb="FF1F1D19"/>
        <rFont val="맑은 고딕"/>
        <family val="3"/>
        <charset val="129"/>
      </rPr>
      <t>2</t>
    </r>
    <r>
      <rPr>
        <sz val="9.5"/>
        <color rgb="FF1F1D19"/>
        <rFont val="Noto Sans CJK SC"/>
        <family val="2"/>
      </rPr>
      <t>명</t>
    </r>
  </si>
  <si>
    <r>
      <rPr>
        <sz val="9.5"/>
        <color rgb="FF3D6B8C"/>
        <rFont val="Noto Sans CJK SC"/>
        <family val="2"/>
      </rPr>
      <t>트랙</t>
    </r>
    <r>
      <rPr>
        <sz val="9.5"/>
        <color rgb="FF3D6B8C"/>
        <rFont val="맑은 고딕"/>
        <family val="3"/>
        <charset val="129"/>
      </rPr>
      <t>1(</t>
    </r>
    <r>
      <rPr>
        <sz val="9.5"/>
        <color rgb="FF3D6B8C"/>
        <rFont val="Noto Sans CJK SC"/>
        <family val="2"/>
      </rPr>
      <t xml:space="preserve">신규인력 </t>
    </r>
    <r>
      <rPr>
        <sz val="9.5"/>
        <color rgb="FF3D6B8C"/>
        <rFont val="맑은 고딕"/>
        <family val="3"/>
        <charset val="129"/>
      </rPr>
      <t>A)</t>
    </r>
  </si>
  <si>
    <r>
      <rPr>
        <sz val="9.5"/>
        <color rgb="FF1F1D19"/>
        <rFont val="Noto Sans CJK SC"/>
        <family val="2"/>
      </rPr>
      <t xml:space="preserve">신규 인력 </t>
    </r>
    <r>
      <rPr>
        <sz val="9.5"/>
        <color rgb="FF1F1D19"/>
        <rFont val="맑은 고딕"/>
        <family val="3"/>
        <charset val="129"/>
      </rPr>
      <t>A</t>
    </r>
  </si>
  <si>
    <r>
      <rPr>
        <sz val="9.5"/>
        <color rgb="FF5D8C5A"/>
        <rFont val="Noto Sans CJK SC"/>
        <family val="2"/>
      </rPr>
      <t>트랙</t>
    </r>
    <r>
      <rPr>
        <sz val="9.5"/>
        <color rgb="FF5D8C5A"/>
        <rFont val="맑은 고딕"/>
        <family val="3"/>
        <charset val="129"/>
      </rPr>
      <t>2(</t>
    </r>
    <r>
      <rPr>
        <sz val="9.5"/>
        <color rgb="FF5D8C5A"/>
        <rFont val="Noto Sans CJK SC"/>
        <family val="2"/>
      </rPr>
      <t xml:space="preserve">신규인력 </t>
    </r>
    <r>
      <rPr>
        <sz val="9.5"/>
        <color rgb="FF5D8C5A"/>
        <rFont val="맑은 고딕"/>
        <family val="3"/>
        <charset val="129"/>
      </rPr>
      <t>B)</t>
    </r>
  </si>
  <si>
    <r>
      <rPr>
        <sz val="9.5"/>
        <color rgb="FF1F1D19"/>
        <rFont val="Noto Sans CJK SC"/>
        <family val="2"/>
      </rPr>
      <t xml:space="preserve">신규 인력 </t>
    </r>
    <r>
      <rPr>
        <sz val="9.5"/>
        <color rgb="FF1F1D19"/>
        <rFont val="맑은 고딕"/>
        <family val="3"/>
        <charset val="129"/>
      </rPr>
      <t>B</t>
    </r>
  </si>
  <si>
    <r>
      <rPr>
        <sz val="9.5"/>
        <color rgb="FF8B5FA0"/>
        <rFont val="Noto Sans CJK SC"/>
        <family val="2"/>
      </rPr>
      <t>합류</t>
    </r>
    <r>
      <rPr>
        <sz val="9.5"/>
        <color rgb="FF8B5FA0"/>
        <rFont val="맑은 고딕"/>
        <family val="3"/>
        <charset val="129"/>
      </rPr>
      <t>(</t>
    </r>
    <r>
      <rPr>
        <sz val="9.5"/>
        <color rgb="FF8B5FA0"/>
        <rFont val="Noto Sans CJK SC"/>
        <family val="2"/>
      </rPr>
      <t xml:space="preserve">신규 </t>
    </r>
    <r>
      <rPr>
        <sz val="9.5"/>
        <color rgb="FF8B5FA0"/>
        <rFont val="맑은 고딕"/>
        <family val="3"/>
        <charset val="129"/>
      </rPr>
      <t>2</t>
    </r>
    <r>
      <rPr>
        <sz val="9.5"/>
        <color rgb="FF8B5FA0"/>
        <rFont val="Noto Sans CJK SC"/>
        <family val="2"/>
      </rPr>
      <t>명</t>
    </r>
    <r>
      <rPr>
        <sz val="9.5"/>
        <color rgb="FF8B5FA0"/>
        <rFont val="맑은 고딕"/>
        <family val="3"/>
        <charset val="129"/>
      </rPr>
      <t>)</t>
    </r>
  </si>
  <si>
    <r>
      <rPr>
        <sz val="9.5"/>
        <color rgb="FF1F1D19"/>
        <rFont val="Noto Sans CJK SC"/>
        <family val="2"/>
      </rPr>
      <t xml:space="preserve">신규 인력 </t>
    </r>
    <r>
      <rPr>
        <sz val="9.5"/>
        <color rgb="FF1F1D19"/>
        <rFont val="맑은 고딕"/>
        <family val="3"/>
        <charset val="129"/>
      </rPr>
      <t>A·B</t>
    </r>
  </si>
  <si>
    <r>
      <rPr>
        <sz val="9.5"/>
        <color rgb="FF8B5FA0"/>
        <rFont val="Noto Sans CJK SC"/>
        <family val="2"/>
      </rPr>
      <t>합류 이후 공통</t>
    </r>
    <r>
      <rPr>
        <sz val="9.5"/>
        <color rgb="FF8B5FA0"/>
        <rFont val="맑은 고딕"/>
        <family val="3"/>
        <charset val="129"/>
      </rPr>
      <t>(</t>
    </r>
    <r>
      <rPr>
        <sz val="9.5"/>
        <color rgb="FF8B5FA0"/>
        <rFont val="Noto Sans CJK SC"/>
        <family val="2"/>
      </rPr>
      <t>기존인력 인수</t>
    </r>
    <r>
      <rPr>
        <sz val="9.5"/>
        <color rgb="FF8B5FA0"/>
        <rFont val="맑은 고딕"/>
        <family val="3"/>
        <charset val="129"/>
      </rPr>
      <t>)</t>
    </r>
  </si>
  <si>
    <r>
      <rPr>
        <sz val="9.5"/>
        <color rgb="FF1F1D19"/>
        <rFont val="Noto Sans CJK SC"/>
        <family val="2"/>
      </rPr>
      <t>신규인력 퇴사</t>
    </r>
    <r>
      <rPr>
        <sz val="9.5"/>
        <color rgb="FF1F1D19"/>
        <rFont val="맑은 고딕"/>
        <family val="3"/>
        <charset val="129"/>
      </rPr>
      <t xml:space="preserve">(12/31) </t>
    </r>
    <r>
      <rPr>
        <sz val="9.5"/>
        <color rgb="FF1F1D19"/>
        <rFont val="Noto Sans CJK SC"/>
        <family val="2"/>
      </rPr>
      <t>이후 기존인력 인수</t>
    </r>
  </si>
  <si>
    <r>
      <rPr>
        <b/>
        <sz val="9.5"/>
        <color rgb="FF1F1D19"/>
        <rFont val="Noto Sans CJK SC"/>
        <family val="2"/>
      </rPr>
      <t xml:space="preserve">운영 대응 </t>
    </r>
    <r>
      <rPr>
        <b/>
        <sz val="9.5"/>
        <color rgb="FF1F1D19"/>
        <rFont val="맑은 고딕"/>
        <family val="3"/>
        <charset val="129"/>
      </rPr>
      <t>(</t>
    </r>
    <r>
      <rPr>
        <b/>
        <sz val="9.5"/>
        <color rgb="FF1F1D19"/>
        <rFont val="Noto Sans CJK SC"/>
        <family val="2"/>
      </rPr>
      <t xml:space="preserve">종료일 없음 </t>
    </r>
    <r>
      <rPr>
        <b/>
        <sz val="9.5"/>
        <color rgb="FF1F1D19"/>
        <rFont val="맑은 고딕"/>
        <family val="3"/>
        <charset val="129"/>
      </rPr>
      <t xml:space="preserve">· </t>
    </r>
    <r>
      <rPr>
        <b/>
        <sz val="9.5"/>
        <color rgb="FF1F1D19"/>
        <rFont val="Noto Sans CJK SC"/>
        <family val="2"/>
      </rPr>
      <t xml:space="preserve">표는 목표일 </t>
    </r>
    <r>
      <rPr>
        <b/>
        <sz val="9.5"/>
        <color rgb="FF1F1D19"/>
        <rFont val="맑은 고딕"/>
        <family val="3"/>
        <charset val="129"/>
      </rPr>
      <t>3/15</t>
    </r>
    <r>
      <rPr>
        <b/>
        <sz val="9.5"/>
        <color rgb="FF1F1D19"/>
        <rFont val="Noto Sans CJK SC"/>
        <family val="2"/>
      </rPr>
      <t>까지 표시</t>
    </r>
    <r>
      <rPr>
        <b/>
        <sz val="9.5"/>
        <color rgb="FF1F1D19"/>
        <rFont val="맑은 고딕"/>
        <family val="3"/>
        <charset val="129"/>
      </rPr>
      <t xml:space="preserve">, </t>
    </r>
    <r>
      <rPr>
        <b/>
        <sz val="9.5"/>
        <color rgb="FF1F1D19"/>
        <rFont val="Noto Sans CJK SC"/>
        <family val="2"/>
      </rPr>
      <t>기존 인력</t>
    </r>
    <r>
      <rPr>
        <b/>
        <sz val="9.5"/>
        <color rgb="FF1F1D19"/>
        <rFont val="맑은 고딕"/>
        <family val="3"/>
        <charset val="129"/>
      </rPr>
      <t>)</t>
    </r>
  </si>
  <si>
    <r>
      <rPr>
        <sz val="9.5"/>
        <color rgb="FF1F1D19"/>
        <rFont val="Noto Sans CJK SC"/>
        <family val="2"/>
      </rPr>
      <t>실제로는 종료일 없이 지속</t>
    </r>
    <r>
      <rPr>
        <sz val="9.5"/>
        <color rgb="FF1F1D19"/>
        <rFont val="맑은 고딕"/>
        <family val="3"/>
        <charset val="129"/>
      </rPr>
      <t>(</t>
    </r>
    <r>
      <rPr>
        <sz val="9.5"/>
        <color rgb="FF1F1D19"/>
        <rFont val="Noto Sans CJK SC"/>
        <family val="2"/>
      </rPr>
      <t xml:space="preserve">표는 </t>
    </r>
    <r>
      <rPr>
        <sz val="9.5"/>
        <color rgb="FF1F1D19"/>
        <rFont val="맑은 고딕"/>
        <family val="3"/>
        <charset val="129"/>
      </rPr>
      <t>3/15</t>
    </r>
    <r>
      <rPr>
        <sz val="9.5"/>
        <color rgb="FF1F1D19"/>
        <rFont val="Noto Sans CJK SC"/>
        <family val="2"/>
      </rPr>
      <t>까지만 표시</t>
    </r>
    <r>
      <rPr>
        <sz val="9.5"/>
        <color rgb="FF1F1D19"/>
        <rFont val="맑은 고딕"/>
        <family val="3"/>
        <charset val="129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</si>
</sst>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76" formatCode="yyyy\-mm\-dd"/>
    <numFmt numFmtId="177" formatCode="\+0.0&quot;주&quot;;\-0.0&quot;주&quot;;0&quot;주&quot;"/>
    <numFmt numFmtId="178" formatCode="m/d"/>
    <numFmt numFmtId="179" formatCode="0.0&quot;주&quot;"/>
    <numFmt numFmtId="180" formatCode="0&quot;주&quot;"/>
  </numFmts>
  <fonts count="25">
    <font>
      <sz val="11"/>
      <color theme="1"/>
      <name val="Calibri"/>
      <family val="2"/>
      <charset val="1"/>
    </font>
    <font>
      <b/>
      <sz val="14"/>
      <color rgb="FFFFFFFF"/>
      <name val="맑은 고딕"/>
      <family val="3"/>
      <charset val="129"/>
    </font>
    <font>
      <b/>
      <sz val="14"/>
      <color rgb="FFFFFFFF"/>
      <name val="Noto Sans CJK SC"/>
      <family val="2"/>
    </font>
    <font>
      <b/>
      <sz val="9.5"/>
      <color rgb="FF1F1D19"/>
      <name val="Noto Sans CJK SC"/>
      <family val="2"/>
    </font>
    <font>
      <sz val="9.5"/>
      <color rgb="FF1F1D19"/>
      <name val="맑은 고딕"/>
      <family val="3"/>
      <charset val="129"/>
    </font>
    <font>
      <i/>
      <sz val="8.6"/>
      <color rgb="FF6B675F"/>
      <name val="맑은 고딕"/>
      <family val="3"/>
      <charset val="129"/>
    </font>
    <font>
      <i/>
      <sz val="8.6"/>
      <color rgb="FF6B675F"/>
      <name val="Noto Sans CJK SC"/>
      <family val="2"/>
    </font>
    <font>
      <b/>
      <sz val="9.5"/>
      <color rgb="FF1F1D19"/>
      <name val="맑은 고딕"/>
      <family val="3"/>
      <charset val="129"/>
    </font>
    <font>
      <b/>
      <sz val="8.6"/>
      <color rgb="FFFFFFFF"/>
      <name val="Noto Sans CJK SC"/>
      <family val="2"/>
    </font>
    <font>
      <b/>
      <sz val="8.6"/>
      <color rgb="FFFFFFFF"/>
      <name val="맑은 고딕"/>
      <family val="3"/>
      <charset val="129"/>
    </font>
    <font>
      <b/>
      <sz val="9.5"/>
      <color rgb="FFFFFFFF"/>
      <name val="맑은 고딕"/>
      <family val="3"/>
      <charset val="129"/>
    </font>
    <font>
      <b/>
      <sz val="9.5"/>
      <color rgb="FFFFFFFF"/>
      <name val="Noto Sans CJK SC"/>
      <family val="2"/>
    </font>
    <font>
      <b/>
      <sz val="7.6"/>
      <color rgb="FFFFFFFF"/>
      <name val="맑은 고딕"/>
      <family val="3"/>
      <charset val="129"/>
    </font>
    <font>
      <sz val="9.5"/>
      <color rgb="FF1F1D19"/>
      <name val="Noto Sans CJK SC"/>
      <family val="2"/>
    </font>
    <font>
      <sz val="9.5"/>
      <color rgb="FFC2185B"/>
      <name val="Noto Sans CJK SC"/>
      <family val="2"/>
    </font>
    <font>
      <sz val="9.5"/>
      <color rgb="FF3D6B8C"/>
      <name val="Noto Sans CJK SC"/>
      <family val="2"/>
    </font>
    <font>
      <sz val="9.5"/>
      <color rgb="FF3D6B8C"/>
      <name val="맑은 고딕"/>
      <family val="3"/>
      <charset val="129"/>
    </font>
    <font>
      <sz val="9.5"/>
      <color rgb="FF5D8C5A"/>
      <name val="Noto Sans CJK SC"/>
      <family val="2"/>
    </font>
    <font>
      <sz val="9.5"/>
      <color rgb="FF5D8C5A"/>
      <name val="맑은 고딕"/>
      <family val="3"/>
      <charset val="129"/>
    </font>
    <font>
      <sz val="9.5"/>
      <color rgb="FF8B5FA0"/>
      <name val="Noto Sans CJK SC"/>
      <family val="2"/>
    </font>
    <font>
      <sz val="9.5"/>
      <color rgb="FF8B5FA0"/>
      <name val="맑은 고딕"/>
      <family val="3"/>
      <charset val="129"/>
    </font>
    <font>
      <sz val="9.5"/>
      <color rgb="FFD08A2E"/>
      <name val="Noto Sans CJK SC"/>
      <family val="2"/>
    </font>
    <font>
      <i/>
      <sz val="8.6"/>
      <color rgb="FF6B5B95"/>
      <name val="Noto Sans CJK SC"/>
      <family val="2"/>
    </font>
    <font>
      <i/>
      <sz val="8.6"/>
      <color rgb="FF6B5B95"/>
      <name val="맑은 고딕"/>
      <family val="3"/>
      <charset val="129"/>
    </font>
    <font>
      <sz val="8"/>
      <name val="돋움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1F1D19"/>
        <bgColor rgb="FF2B2B2B"/>
      </patternFill>
    </fill>
    <fill>
      <patternFill patternType="solid">
        <fgColor rgb="FFF3F1EC"/>
        <bgColor rgb="FFF7F5FB"/>
      </patternFill>
    </fill>
    <fill>
      <patternFill patternType="solid">
        <fgColor rgb="FFFBF9F4"/>
        <bgColor rgb="FFF7F5FB"/>
      </patternFill>
    </fill>
    <fill>
      <patternFill patternType="solid">
        <fgColor rgb="FF2B2B2B"/>
        <bgColor rgb="FF1F1D19"/>
      </patternFill>
    </fill>
    <fill>
      <patternFill patternType="solid">
        <fgColor rgb="FFC0392B"/>
        <bgColor rgb="FFC2185B"/>
      </patternFill>
    </fill>
    <fill>
      <patternFill patternType="solid">
        <fgColor rgb="FF9B6B1F"/>
        <bgColor rgb="FFB8763B"/>
      </patternFill>
    </fill>
    <fill>
      <patternFill patternType="solid">
        <fgColor rgb="FFFFF6E0"/>
        <bgColor rgb="FFFBF9F4"/>
      </patternFill>
    </fill>
    <fill>
      <patternFill patternType="solid">
        <fgColor rgb="FFF7F5FB"/>
        <bgColor rgb="FFFBF9F4"/>
      </patternFill>
    </fill>
    <fill>
      <patternFill patternType="solid">
        <fgColor rgb="FFE7E2F1"/>
        <bgColor rgb="FFF3F1EC"/>
      </patternFill>
    </fill>
  </fills>
  <borders count="4">
    <border>
      <left/>
      <right/>
      <top/>
      <bottom/>
      <diagonal/>
    </border>
    <border>
      <left style="thin">
        <color rgb="FFD9D5C9"/>
      </left>
      <right/>
      <top style="thin">
        <color rgb="FFD9D5C9"/>
      </top>
      <bottom style="thin">
        <color rgb="FFD9D5C9"/>
      </bottom>
      <diagonal/>
    </border>
    <border>
      <left style="thin">
        <color rgb="FFD9D5C9"/>
      </left>
      <right/>
      <top style="thin">
        <color rgb="FFD9D5C9"/>
      </top>
      <bottom/>
      <diagonal/>
    </border>
    <border>
      <left style="thin">
        <color rgb="FFD9D5C9"/>
      </left>
      <right style="thin">
        <color rgb="FFD9D5C9"/>
      </right>
      <top style="thin">
        <color rgb="FFD9D5C9"/>
      </top>
      <bottom style="thin">
        <color rgb="FFD9D5C9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2" fillId="9" borderId="1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left" vertical="center" wrapText="1"/>
    </xf>
    <xf numFmtId="0" fontId="9" fillId="5" borderId="3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177" fontId="4" fillId="0" borderId="1" xfId="0" applyNumberFormat="1" applyFont="1" applyBorder="1" applyAlignment="1">
      <alignment horizontal="center" vertical="center" wrapText="1"/>
    </xf>
    <xf numFmtId="0" fontId="5" fillId="4" borderId="2" xfId="0" applyFont="1" applyFill="1" applyBorder="1" applyAlignment="1">
      <alignment horizontal="left" vertical="center" wrapText="1"/>
    </xf>
    <xf numFmtId="176" fontId="4" fillId="0" borderId="1" xfId="0" applyNumberFormat="1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1" fillId="2" borderId="0" xfId="0" applyFont="1" applyFill="1" applyBorder="1" applyAlignment="1">
      <alignment horizontal="left" vertical="center" wrapText="1"/>
    </xf>
    <xf numFmtId="0" fontId="10" fillId="5" borderId="3" xfId="0" applyFont="1" applyFill="1" applyBorder="1" applyAlignment="1">
      <alignment horizontal="center" vertical="center" wrapText="1"/>
    </xf>
    <xf numFmtId="0" fontId="11" fillId="5" borderId="3" xfId="0" applyFont="1" applyFill="1" applyBorder="1" applyAlignment="1">
      <alignment horizontal="center" vertical="center" wrapText="1"/>
    </xf>
    <xf numFmtId="178" fontId="12" fillId="5" borderId="3" xfId="0" applyNumberFormat="1" applyFont="1" applyFill="1" applyBorder="1" applyAlignment="1">
      <alignment horizontal="center" vertical="center" wrapText="1"/>
    </xf>
    <xf numFmtId="178" fontId="12" fillId="6" borderId="3" xfId="0" applyNumberFormat="1" applyFont="1" applyFill="1" applyBorder="1" applyAlignment="1">
      <alignment horizontal="center" vertical="center" wrapText="1"/>
    </xf>
    <xf numFmtId="178" fontId="12" fillId="7" borderId="3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179" fontId="4" fillId="0" borderId="3" xfId="0" applyNumberFormat="1" applyFont="1" applyBorder="1" applyAlignment="1">
      <alignment horizontal="center" vertical="center" wrapText="1"/>
    </xf>
    <xf numFmtId="176" fontId="4" fillId="8" borderId="3" xfId="0" applyNumberFormat="1" applyFont="1" applyFill="1" applyBorder="1" applyAlignment="1">
      <alignment horizontal="center" vertical="center" wrapText="1"/>
    </xf>
    <xf numFmtId="0" fontId="14" fillId="0" borderId="3" xfId="0" applyFont="1" applyBorder="1" applyAlignment="1">
      <alignment horizontal="left" vertical="center" wrapText="1"/>
    </xf>
    <xf numFmtId="176" fontId="4" fillId="0" borderId="3" xfId="0" applyNumberFormat="1" applyFont="1" applyBorder="1" applyAlignment="1">
      <alignment horizontal="center" vertical="center" wrapText="1"/>
    </xf>
    <xf numFmtId="0" fontId="15" fillId="0" borderId="3" xfId="0" applyFont="1" applyBorder="1" applyAlignment="1">
      <alignment horizontal="left" vertical="center" wrapText="1"/>
    </xf>
    <xf numFmtId="180" fontId="4" fillId="8" borderId="3" xfId="0" applyNumberFormat="1" applyFont="1" applyFill="1" applyBorder="1" applyAlignment="1">
      <alignment horizontal="center" vertical="center" wrapText="1"/>
    </xf>
    <xf numFmtId="0" fontId="17" fillId="0" borderId="3" xfId="0" applyFont="1" applyBorder="1" applyAlignment="1">
      <alignment horizontal="left" vertical="center" wrapText="1"/>
    </xf>
    <xf numFmtId="0" fontId="19" fillId="0" borderId="3" xfId="0" applyFont="1" applyBorder="1" applyAlignment="1">
      <alignment horizontal="left" vertical="center" wrapText="1"/>
    </xf>
    <xf numFmtId="0" fontId="21" fillId="0" borderId="3" xfId="0" applyFont="1" applyBorder="1" applyAlignment="1">
      <alignment horizontal="left" vertical="center" wrapText="1"/>
    </xf>
    <xf numFmtId="0" fontId="4" fillId="10" borderId="3" xfId="0" applyFont="1" applyFill="1" applyBorder="1" applyAlignment="1">
      <alignment horizontal="left" vertical="center" wrapText="1"/>
    </xf>
  </cellXfs>
  <cellStyles count="1">
    <cellStyle name="표준" xfId="0" builtinId="0"/>
  </cellStyles>
  <dxfs count="37">
    <dxf>
      <fill>
        <patternFill>
          <bgColor rgb="FFB8763B"/>
        </patternFill>
      </fill>
    </dxf>
    <dxf>
      <fill>
        <patternFill>
          <bgColor rgb="FFB8763B"/>
        </patternFill>
      </fill>
    </dxf>
    <dxf>
      <fill>
        <patternFill>
          <bgColor rgb="FF3D6B8C"/>
        </patternFill>
      </fill>
    </dxf>
    <dxf>
      <fill>
        <patternFill>
          <bgColor rgb="FF3D6B8C"/>
        </patternFill>
      </fill>
    </dxf>
    <dxf>
      <fill>
        <patternFill>
          <bgColor rgb="FF3D6B8C"/>
        </patternFill>
      </fill>
    </dxf>
    <dxf>
      <fill>
        <patternFill>
          <bgColor rgb="FF3D6B8C"/>
        </patternFill>
      </fill>
    </dxf>
    <dxf>
      <fill>
        <patternFill>
          <bgColor rgb="FF8B5FA0"/>
        </patternFill>
      </fill>
    </dxf>
    <dxf>
      <fill>
        <patternFill>
          <bgColor rgb="FF8B5FA0"/>
        </patternFill>
      </fill>
    </dxf>
    <dxf>
      <fill>
        <patternFill>
          <bgColor rgb="FF5D8C5A"/>
        </patternFill>
      </fill>
    </dxf>
    <dxf>
      <fill>
        <patternFill>
          <bgColor rgb="FF3D6B8C"/>
        </patternFill>
      </fill>
    </dxf>
    <dxf>
      <fill>
        <patternFill>
          <bgColor rgb="FF6B5B95"/>
        </patternFill>
      </fill>
    </dxf>
    <dxf>
      <fill>
        <patternFill>
          <bgColor rgb="FFC2185B"/>
        </patternFill>
      </fill>
    </dxf>
    <dxf>
      <fill>
        <patternFill>
          <bgColor rgb="FF3D6B8C"/>
        </patternFill>
      </fill>
    </dxf>
    <dxf>
      <fill>
        <patternFill>
          <bgColor rgb="FFB8763B"/>
        </patternFill>
      </fill>
    </dxf>
    <dxf>
      <fill>
        <patternFill>
          <bgColor rgb="FFB8763B"/>
        </patternFill>
      </fill>
    </dxf>
    <dxf>
      <fill>
        <patternFill>
          <bgColor rgb="FF4F8F7C"/>
        </patternFill>
      </fill>
    </dxf>
    <dxf>
      <fill>
        <patternFill>
          <bgColor rgb="FF4F8F7C"/>
        </patternFill>
      </fill>
    </dxf>
    <dxf>
      <fill>
        <patternFill>
          <bgColor rgb="FFD08A2E"/>
        </patternFill>
      </fill>
    </dxf>
    <dxf>
      <fill>
        <patternFill>
          <bgColor rgb="FF4F8F7C"/>
        </patternFill>
      </fill>
    </dxf>
    <dxf>
      <fill>
        <patternFill>
          <bgColor rgb="FF8B5FA0"/>
        </patternFill>
      </fill>
    </dxf>
    <dxf>
      <fill>
        <patternFill>
          <bgColor rgb="FF8B5FA0"/>
        </patternFill>
      </fill>
    </dxf>
    <dxf>
      <fill>
        <patternFill>
          <bgColor rgb="FF5D8C5A"/>
        </patternFill>
      </fill>
    </dxf>
    <dxf>
      <fill>
        <patternFill>
          <bgColor rgb="FF3D6B8C"/>
        </patternFill>
      </fill>
    </dxf>
    <dxf>
      <fill>
        <patternFill>
          <bgColor rgb="FFC2185B"/>
        </patternFill>
      </fill>
    </dxf>
    <dxf>
      <fill>
        <patternFill>
          <bgColor rgb="FF3D6B8C"/>
        </patternFill>
      </fill>
    </dxf>
    <dxf>
      <fill>
        <patternFill>
          <bgColor rgb="FFB8763B"/>
        </patternFill>
      </fill>
    </dxf>
    <dxf>
      <fill>
        <patternFill>
          <bgColor rgb="FFB8763B"/>
        </patternFill>
      </fill>
    </dxf>
    <dxf>
      <fill>
        <patternFill>
          <bgColor rgb="FF4F8F7C"/>
        </patternFill>
      </fill>
    </dxf>
    <dxf>
      <fill>
        <patternFill>
          <bgColor rgb="FF4F8F7C"/>
        </patternFill>
      </fill>
    </dxf>
    <dxf>
      <fill>
        <patternFill>
          <bgColor rgb="FF4F8F7C"/>
        </patternFill>
      </fill>
    </dxf>
    <dxf>
      <fill>
        <patternFill>
          <bgColor rgb="FF4F8F7C"/>
        </patternFill>
      </fill>
    </dxf>
    <dxf>
      <fill>
        <patternFill>
          <bgColor rgb="FF8B5FA0"/>
        </patternFill>
      </fill>
    </dxf>
    <dxf>
      <fill>
        <patternFill>
          <bgColor rgb="FF8B5FA0"/>
        </patternFill>
      </fill>
    </dxf>
    <dxf>
      <fill>
        <patternFill>
          <bgColor rgb="FF5D8C5A"/>
        </patternFill>
      </fill>
    </dxf>
    <dxf>
      <fill>
        <patternFill>
          <bgColor rgb="FF3D6B8C"/>
        </patternFill>
      </fill>
    </dxf>
    <dxf>
      <fill>
        <patternFill>
          <bgColor rgb="FFC2185B"/>
        </patternFill>
      </fill>
    </dxf>
    <dxf>
      <fill>
        <patternFill>
          <bgColor rgb="FF3D6B8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B6B1F"/>
      <rgbColor rgb="FF800080"/>
      <rgbColor rgb="FF3D6B8C"/>
      <rgbColor rgb="FFC0C0C0"/>
      <rgbColor rgb="FF5D8C5A"/>
      <rgbColor rgb="FF9999FF"/>
      <rgbColor rgb="FFC2185B"/>
      <rgbColor rgb="FFFFF6E0"/>
      <rgbColor rgb="FFF3F1EC"/>
      <rgbColor rgb="FF660066"/>
      <rgbColor rgb="FFFF8080"/>
      <rgbColor rgb="FF0066CC"/>
      <rgbColor rgb="FFD9D5C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7F5FB"/>
      <rgbColor rgb="FFFBF9F4"/>
      <rgbColor rgb="FFFFFF99"/>
      <rgbColor rgb="FF99CCFF"/>
      <rgbColor rgb="FFFF99CC"/>
      <rgbColor rgb="FFCC99FF"/>
      <rgbColor rgb="FFE7E2F1"/>
      <rgbColor rgb="FF3366FF"/>
      <rgbColor rgb="FF33CCCC"/>
      <rgbColor rgb="FF99CC00"/>
      <rgbColor rgb="FFFFCC00"/>
      <rgbColor rgb="FFD08A2E"/>
      <rgbColor rgb="FFFF6600"/>
      <rgbColor rgb="FF6B5B95"/>
      <rgbColor rgb="FFB8763B"/>
      <rgbColor rgb="FF003366"/>
      <rgbColor rgb="FF4F8F7C"/>
      <rgbColor rgb="FF003300"/>
      <rgbColor rgb="FF1F1D19"/>
      <rgbColor rgb="FFC0392B"/>
      <rgbColor rgb="FF8B5FA0"/>
      <rgbColor rgb="FF6B675F"/>
      <rgbColor rgb="FF2B2B2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22"/>
  <sheetViews>
    <sheetView showGridLines="0" tabSelected="1" zoomScaleNormal="100" workbookViewId="0">
      <pane ySplit="7" topLeftCell="A8" activePane="bottomLeft" state="frozen"/>
      <selection pane="bottomLeft" activeCell="A13" sqref="A13"/>
    </sheetView>
  </sheetViews>
  <sheetFormatPr defaultColWidth="8.68359375" defaultRowHeight="14.4"/>
  <cols>
    <col min="1" max="1" width="4" customWidth="1"/>
    <col min="2" max="2" width="9" customWidth="1"/>
    <col min="3" max="4" width="22" customWidth="1"/>
    <col min="5" max="5" width="8" customWidth="1"/>
    <col min="6" max="7" width="11" customWidth="1"/>
    <col min="8" max="8" width="24" customWidth="1"/>
    <col min="9" max="9" width="28" customWidth="1"/>
    <col min="10" max="10" width="2" customWidth="1"/>
    <col min="11" max="61" width="5.41796875" customWidth="1"/>
  </cols>
  <sheetData>
    <row r="1" spans="1:61" ht="24" customHeight="1">
      <c r="A1" s="9" t="s">
        <v>0</v>
      </c>
      <c r="B1" s="9"/>
      <c r="C1" s="9"/>
      <c r="D1" s="9"/>
      <c r="E1" s="9"/>
      <c r="F1" s="9"/>
      <c r="G1" s="9"/>
      <c r="H1" s="9"/>
      <c r="I1" s="9"/>
    </row>
    <row r="2" spans="1:61" ht="16.5" customHeight="1">
      <c r="A2" s="8" t="s">
        <v>1</v>
      </c>
      <c r="B2" s="8"/>
      <c r="C2" s="8"/>
      <c r="D2" s="7">
        <v>46461</v>
      </c>
      <c r="E2" s="7"/>
      <c r="F2" s="6" t="s">
        <v>2</v>
      </c>
      <c r="G2" s="6"/>
      <c r="H2" s="6"/>
      <c r="I2" s="6"/>
    </row>
    <row r="3" spans="1:61" ht="16.5" customHeight="1">
      <c r="A3" s="8" t="s">
        <v>3</v>
      </c>
      <c r="B3" s="8"/>
      <c r="C3" s="8"/>
      <c r="D3" s="7">
        <f>G19</f>
        <v>46517</v>
      </c>
      <c r="E3" s="7"/>
      <c r="F3" s="6"/>
      <c r="G3" s="6"/>
      <c r="H3" s="6"/>
      <c r="I3" s="6"/>
    </row>
    <row r="4" spans="1:61" ht="33.75" customHeight="1">
      <c r="A4" s="8" t="s">
        <v>4</v>
      </c>
      <c r="B4" s="8"/>
      <c r="C4" s="8"/>
      <c r="D4" s="5">
        <f>(G19-D2)/7</f>
        <v>8</v>
      </c>
      <c r="E4" s="5"/>
      <c r="F4" s="6"/>
      <c r="G4" s="6"/>
      <c r="H4" s="6"/>
      <c r="I4" s="6"/>
    </row>
    <row r="5" spans="1:61" ht="6" customHeight="1"/>
    <row r="6" spans="1:61" ht="15" customHeight="1">
      <c r="A6" s="4" t="s">
        <v>5</v>
      </c>
      <c r="B6" s="4"/>
      <c r="C6" s="4"/>
      <c r="D6" s="4"/>
      <c r="E6" s="4"/>
      <c r="F6" s="4"/>
      <c r="G6" s="4"/>
      <c r="H6" s="4"/>
      <c r="I6" s="4"/>
      <c r="K6" s="3" t="s">
        <v>6</v>
      </c>
      <c r="L6" s="3"/>
      <c r="M6" s="3"/>
      <c r="N6" s="3"/>
      <c r="O6" s="3"/>
      <c r="P6" s="3" t="s">
        <v>7</v>
      </c>
      <c r="Q6" s="3"/>
      <c r="R6" s="3"/>
      <c r="S6" s="3"/>
      <c r="T6" s="3" t="s">
        <v>8</v>
      </c>
      <c r="U6" s="3"/>
      <c r="V6" s="3"/>
      <c r="W6" s="3"/>
      <c r="X6" s="3"/>
      <c r="Y6" s="3" t="s">
        <v>9</v>
      </c>
      <c r="Z6" s="3"/>
      <c r="AA6" s="3"/>
      <c r="AB6" s="3"/>
      <c r="AC6" s="3" t="s">
        <v>10</v>
      </c>
      <c r="AD6" s="3"/>
      <c r="AE6" s="3"/>
      <c r="AF6" s="3"/>
      <c r="AG6" s="3" t="s">
        <v>11</v>
      </c>
      <c r="AH6" s="3"/>
      <c r="AI6" s="3"/>
      <c r="AJ6" s="3"/>
      <c r="AK6" s="3"/>
      <c r="AL6" s="3" t="s">
        <v>12</v>
      </c>
      <c r="AM6" s="3"/>
      <c r="AN6" s="3"/>
      <c r="AO6" s="3"/>
      <c r="AP6" s="3" t="s">
        <v>13</v>
      </c>
      <c r="AQ6" s="3"/>
      <c r="AR6" s="3"/>
      <c r="AS6" s="3"/>
      <c r="AT6" s="3" t="s">
        <v>14</v>
      </c>
      <c r="AU6" s="3"/>
      <c r="AV6" s="3"/>
      <c r="AW6" s="3"/>
      <c r="AX6" s="3" t="s">
        <v>15</v>
      </c>
      <c r="AY6" s="3"/>
      <c r="AZ6" s="3"/>
      <c r="BA6" s="3"/>
      <c r="BB6" s="3"/>
      <c r="BC6" s="3" t="s">
        <v>16</v>
      </c>
      <c r="BD6" s="3"/>
      <c r="BE6" s="3"/>
      <c r="BF6" s="3"/>
      <c r="BG6" s="3" t="s">
        <v>17</v>
      </c>
      <c r="BH6" s="3"/>
      <c r="BI6" s="3"/>
    </row>
    <row r="7" spans="1:61" ht="19.5" customHeight="1">
      <c r="A7" s="10" t="s">
        <v>18</v>
      </c>
      <c r="B7" s="11" t="s">
        <v>19</v>
      </c>
      <c r="C7" s="11" t="s">
        <v>20</v>
      </c>
      <c r="D7" s="11" t="s">
        <v>21</v>
      </c>
      <c r="E7" s="11" t="s">
        <v>22</v>
      </c>
      <c r="F7" s="11" t="s">
        <v>23</v>
      </c>
      <c r="G7" s="11" t="s">
        <v>24</v>
      </c>
      <c r="H7" s="11" t="s">
        <v>25</v>
      </c>
      <c r="I7" s="11" t="s">
        <v>26</v>
      </c>
      <c r="K7" s="12">
        <v>46174</v>
      </c>
      <c r="L7" s="12">
        <v>46181</v>
      </c>
      <c r="M7" s="13">
        <v>46188</v>
      </c>
      <c r="N7" s="12">
        <v>46195</v>
      </c>
      <c r="O7" s="12">
        <v>46202</v>
      </c>
      <c r="P7" s="12">
        <v>46209</v>
      </c>
      <c r="Q7" s="12">
        <v>46216</v>
      </c>
      <c r="R7" s="12">
        <v>46223</v>
      </c>
      <c r="S7" s="12">
        <v>46230</v>
      </c>
      <c r="T7" s="12">
        <v>46237</v>
      </c>
      <c r="U7" s="12">
        <v>46244</v>
      </c>
      <c r="V7" s="12">
        <v>46251</v>
      </c>
      <c r="W7" s="12">
        <v>46258</v>
      </c>
      <c r="X7" s="12">
        <v>46265</v>
      </c>
      <c r="Y7" s="12">
        <v>46272</v>
      </c>
      <c r="Z7" s="12">
        <v>46279</v>
      </c>
      <c r="AA7" s="12">
        <v>46286</v>
      </c>
      <c r="AB7" s="12">
        <v>46293</v>
      </c>
      <c r="AC7" s="12">
        <v>46300</v>
      </c>
      <c r="AD7" s="12">
        <v>46307</v>
      </c>
      <c r="AE7" s="12">
        <v>46314</v>
      </c>
      <c r="AF7" s="12">
        <v>46321</v>
      </c>
      <c r="AG7" s="12">
        <v>46328</v>
      </c>
      <c r="AH7" s="12">
        <v>46335</v>
      </c>
      <c r="AI7" s="12">
        <v>46342</v>
      </c>
      <c r="AJ7" s="12">
        <v>46349</v>
      </c>
      <c r="AK7" s="12">
        <v>46356</v>
      </c>
      <c r="AL7" s="12">
        <v>46363</v>
      </c>
      <c r="AM7" s="12">
        <v>46370</v>
      </c>
      <c r="AN7" s="12">
        <v>46377</v>
      </c>
      <c r="AO7" s="12">
        <v>46384</v>
      </c>
      <c r="AP7" s="12">
        <v>46391</v>
      </c>
      <c r="AQ7" s="12">
        <v>46398</v>
      </c>
      <c r="AR7" s="12">
        <v>46405</v>
      </c>
      <c r="AS7" s="12">
        <v>46412</v>
      </c>
      <c r="AT7" s="12">
        <v>46419</v>
      </c>
      <c r="AU7" s="12">
        <v>46426</v>
      </c>
      <c r="AV7" s="12">
        <v>46433</v>
      </c>
      <c r="AW7" s="12">
        <v>46440</v>
      </c>
      <c r="AX7" s="12">
        <v>46447</v>
      </c>
      <c r="AY7" s="12">
        <v>46454</v>
      </c>
      <c r="AZ7" s="14">
        <v>46461</v>
      </c>
      <c r="BA7" s="12">
        <v>46468</v>
      </c>
      <c r="BB7" s="12">
        <v>46475</v>
      </c>
      <c r="BC7" s="12">
        <v>46482</v>
      </c>
      <c r="BD7" s="12">
        <v>46489</v>
      </c>
      <c r="BE7" s="12">
        <v>46496</v>
      </c>
      <c r="BF7" s="12">
        <v>46503</v>
      </c>
      <c r="BG7" s="12">
        <v>46510</v>
      </c>
      <c r="BH7" s="12">
        <v>46517</v>
      </c>
      <c r="BI7" s="12">
        <v>46524</v>
      </c>
    </row>
    <row r="8" spans="1:61" ht="16.5" customHeight="1">
      <c r="A8" s="8" t="s">
        <v>27</v>
      </c>
      <c r="B8" s="8"/>
      <c r="C8" s="8"/>
      <c r="D8" s="8"/>
      <c r="E8" s="8"/>
      <c r="F8" s="8"/>
      <c r="G8" s="8"/>
      <c r="H8" s="8"/>
      <c r="I8" s="8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</row>
    <row r="9" spans="1:61" ht="25.5" customHeight="1">
      <c r="A9" s="16">
        <v>1</v>
      </c>
      <c r="B9" s="17" t="s">
        <v>28</v>
      </c>
      <c r="C9" s="18" t="s">
        <v>29</v>
      </c>
      <c r="D9" s="19" t="s">
        <v>30</v>
      </c>
      <c r="E9" s="20">
        <f>(G9-F9+1)/7</f>
        <v>13.142857142857142</v>
      </c>
      <c r="F9" s="21">
        <v>46174</v>
      </c>
      <c r="G9" s="21">
        <v>46265</v>
      </c>
      <c r="H9" s="18" t="s">
        <v>31</v>
      </c>
      <c r="I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/>
      <c r="BG9" s="19"/>
      <c r="BH9" s="19"/>
      <c r="BI9" s="19"/>
    </row>
    <row r="10" spans="1:61" ht="25.5" customHeight="1">
      <c r="A10" s="16">
        <v>2</v>
      </c>
      <c r="B10" s="17" t="s">
        <v>28</v>
      </c>
      <c r="C10" s="22" t="s">
        <v>32</v>
      </c>
      <c r="D10" s="19" t="s">
        <v>33</v>
      </c>
      <c r="E10" s="20">
        <f>(G10-F10+1)/7</f>
        <v>13.142857142857142</v>
      </c>
      <c r="F10" s="23">
        <f>F9</f>
        <v>46174</v>
      </c>
      <c r="G10" s="23">
        <f>G9</f>
        <v>46265</v>
      </c>
      <c r="H10" s="19" t="s">
        <v>34</v>
      </c>
      <c r="I10" s="19" t="s">
        <v>35</v>
      </c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/>
      <c r="BG10" s="19"/>
      <c r="BH10" s="19"/>
      <c r="BI10" s="19"/>
    </row>
    <row r="11" spans="1:61" ht="16.5" customHeight="1">
      <c r="A11" s="8" t="s">
        <v>36</v>
      </c>
      <c r="B11" s="8"/>
      <c r="C11" s="8"/>
      <c r="D11" s="8"/>
      <c r="E11" s="8"/>
      <c r="F11" s="8"/>
      <c r="G11" s="8"/>
      <c r="H11" s="8"/>
      <c r="I11" s="8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</row>
    <row r="12" spans="1:61" ht="25.5" customHeight="1">
      <c r="A12" s="16">
        <v>3</v>
      </c>
      <c r="B12" s="17" t="s">
        <v>28</v>
      </c>
      <c r="C12" s="24" t="s">
        <v>37</v>
      </c>
      <c r="D12" s="19" t="s">
        <v>38</v>
      </c>
      <c r="E12" s="25">
        <v>4</v>
      </c>
      <c r="F12" s="23">
        <f>G9+1</f>
        <v>46266</v>
      </c>
      <c r="G12" s="23">
        <f t="shared" ref="G12:G19" si="0">F12+E12*7-1</f>
        <v>46293</v>
      </c>
      <c r="H12" s="18" t="s">
        <v>39</v>
      </c>
      <c r="I12" s="19" t="s">
        <v>40</v>
      </c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</row>
    <row r="13" spans="1:61" ht="25.5" customHeight="1">
      <c r="A13" s="16">
        <v>4</v>
      </c>
      <c r="B13" s="17" t="s">
        <v>28</v>
      </c>
      <c r="C13" s="26" t="s">
        <v>41</v>
      </c>
      <c r="D13" s="18" t="s">
        <v>42</v>
      </c>
      <c r="E13" s="25">
        <v>8</v>
      </c>
      <c r="F13" s="23">
        <f>G9+1</f>
        <v>46266</v>
      </c>
      <c r="G13" s="23">
        <f t="shared" si="0"/>
        <v>46321</v>
      </c>
      <c r="H13" s="18" t="s">
        <v>43</v>
      </c>
      <c r="I13" s="18" t="s">
        <v>44</v>
      </c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</row>
    <row r="14" spans="1:61" ht="25.5" customHeight="1">
      <c r="A14" s="16">
        <v>5</v>
      </c>
      <c r="B14" s="17" t="s">
        <v>28</v>
      </c>
      <c r="C14" s="27" t="s">
        <v>45</v>
      </c>
      <c r="D14" s="18" t="s">
        <v>46</v>
      </c>
      <c r="E14" s="25">
        <v>8</v>
      </c>
      <c r="F14" s="23">
        <f>MAX(G12,G13)+1</f>
        <v>46322</v>
      </c>
      <c r="G14" s="23">
        <f t="shared" si="0"/>
        <v>46377</v>
      </c>
      <c r="H14" s="18" t="s">
        <v>31</v>
      </c>
      <c r="I14" s="18" t="s">
        <v>47</v>
      </c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19"/>
      <c r="BH14" s="19"/>
      <c r="BI14" s="19"/>
    </row>
    <row r="15" spans="1:61" ht="25.5" customHeight="1">
      <c r="A15" s="16">
        <v>6</v>
      </c>
      <c r="B15" s="17" t="s">
        <v>28</v>
      </c>
      <c r="C15" s="27" t="s">
        <v>45</v>
      </c>
      <c r="D15" s="19" t="s">
        <v>48</v>
      </c>
      <c r="E15" s="25">
        <v>8</v>
      </c>
      <c r="F15" s="23">
        <f>F14</f>
        <v>46322</v>
      </c>
      <c r="G15" s="23">
        <f t="shared" si="0"/>
        <v>46377</v>
      </c>
      <c r="H15" s="18" t="s">
        <v>31</v>
      </c>
      <c r="I15" s="18" t="s">
        <v>49</v>
      </c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</row>
    <row r="16" spans="1:61" ht="25.5" customHeight="1">
      <c r="A16" s="16">
        <v>7</v>
      </c>
      <c r="B16" s="17" t="s">
        <v>28</v>
      </c>
      <c r="C16" s="27" t="s">
        <v>50</v>
      </c>
      <c r="D16" s="18" t="s">
        <v>51</v>
      </c>
      <c r="E16" s="25">
        <v>12</v>
      </c>
      <c r="F16" s="23">
        <f>G14+1</f>
        <v>46378</v>
      </c>
      <c r="G16" s="23">
        <f t="shared" si="0"/>
        <v>46461</v>
      </c>
      <c r="H16" s="18" t="s">
        <v>31</v>
      </c>
      <c r="I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/>
      <c r="BG16" s="19"/>
      <c r="BH16" s="19"/>
      <c r="BI16" s="19"/>
    </row>
    <row r="17" spans="1:61" ht="25.5" customHeight="1">
      <c r="A17" s="16">
        <v>8</v>
      </c>
      <c r="B17" s="17" t="s">
        <v>28</v>
      </c>
      <c r="C17" s="27" t="s">
        <v>50</v>
      </c>
      <c r="D17" s="18" t="s">
        <v>52</v>
      </c>
      <c r="E17" s="25">
        <v>4</v>
      </c>
      <c r="F17" s="23">
        <f>G16+1</f>
        <v>46462</v>
      </c>
      <c r="G17" s="23">
        <f t="shared" si="0"/>
        <v>46489</v>
      </c>
      <c r="H17" s="18" t="s">
        <v>31</v>
      </c>
      <c r="I17" s="18" t="s">
        <v>53</v>
      </c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/>
      <c r="BG17" s="19"/>
      <c r="BH17" s="19"/>
      <c r="BI17" s="19"/>
    </row>
    <row r="18" spans="1:61" ht="25.5" customHeight="1">
      <c r="A18" s="16">
        <v>9</v>
      </c>
      <c r="B18" s="17" t="s">
        <v>28</v>
      </c>
      <c r="C18" s="27" t="s">
        <v>50</v>
      </c>
      <c r="D18" s="18" t="s">
        <v>54</v>
      </c>
      <c r="E18" s="25">
        <v>2</v>
      </c>
      <c r="F18" s="23">
        <f>G17+1</f>
        <v>46490</v>
      </c>
      <c r="G18" s="23">
        <f t="shared" si="0"/>
        <v>46503</v>
      </c>
      <c r="H18" s="18" t="s">
        <v>31</v>
      </c>
      <c r="I18" s="18" t="s">
        <v>55</v>
      </c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/>
      <c r="BG18" s="19"/>
      <c r="BH18" s="19"/>
      <c r="BI18" s="19"/>
    </row>
    <row r="19" spans="1:61" ht="25.5" customHeight="1">
      <c r="A19" s="16">
        <v>10</v>
      </c>
      <c r="B19" s="17" t="s">
        <v>28</v>
      </c>
      <c r="C19" s="27" t="s">
        <v>50</v>
      </c>
      <c r="D19" s="18" t="s">
        <v>56</v>
      </c>
      <c r="E19" s="25">
        <v>2</v>
      </c>
      <c r="F19" s="23">
        <f>G18+1</f>
        <v>46504</v>
      </c>
      <c r="G19" s="23">
        <f t="shared" si="0"/>
        <v>46517</v>
      </c>
      <c r="H19" s="18" t="s">
        <v>31</v>
      </c>
      <c r="I19" s="18" t="s">
        <v>55</v>
      </c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/>
      <c r="BG19" s="19"/>
      <c r="BH19" s="19"/>
      <c r="BI19" s="19"/>
    </row>
    <row r="20" spans="1:61" ht="16.5" customHeight="1">
      <c r="A20" s="8" t="s">
        <v>57</v>
      </c>
      <c r="B20" s="8"/>
      <c r="C20" s="8"/>
      <c r="D20" s="8"/>
      <c r="E20" s="8"/>
      <c r="F20" s="8"/>
      <c r="G20" s="8"/>
      <c r="H20" s="8"/>
      <c r="I20" s="8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</row>
    <row r="21" spans="1:61" ht="25.5" customHeight="1">
      <c r="A21" s="16">
        <v>11</v>
      </c>
      <c r="B21" s="17" t="s">
        <v>58</v>
      </c>
      <c r="C21" s="18" t="s">
        <v>59</v>
      </c>
      <c r="D21" s="19" t="s">
        <v>60</v>
      </c>
      <c r="E21" s="25"/>
      <c r="F21" s="21">
        <v>46174</v>
      </c>
      <c r="G21" s="21">
        <v>46530</v>
      </c>
      <c r="H21" s="18" t="s">
        <v>61</v>
      </c>
      <c r="I21" s="18" t="s">
        <v>62</v>
      </c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/>
    </row>
    <row r="22" spans="1:61" ht="25.5" customHeight="1">
      <c r="A22" s="16">
        <v>12</v>
      </c>
      <c r="B22" s="17" t="s">
        <v>58</v>
      </c>
      <c r="C22" s="18" t="s">
        <v>59</v>
      </c>
      <c r="D22" s="19" t="s">
        <v>63</v>
      </c>
      <c r="E22" s="25"/>
      <c r="F22" s="21">
        <v>46174</v>
      </c>
      <c r="G22" s="21">
        <v>46530</v>
      </c>
      <c r="H22" s="18" t="s">
        <v>61</v>
      </c>
      <c r="I22" s="18" t="s">
        <v>62</v>
      </c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19"/>
    </row>
  </sheetData>
  <mergeCells count="24">
    <mergeCell ref="A20:I20"/>
    <mergeCell ref="AX6:BB6"/>
    <mergeCell ref="BC6:BF6"/>
    <mergeCell ref="BG6:BI6"/>
    <mergeCell ref="A8:I8"/>
    <mergeCell ref="A11:I11"/>
    <mergeCell ref="AC6:AF6"/>
    <mergeCell ref="AG6:AK6"/>
    <mergeCell ref="AL6:AO6"/>
    <mergeCell ref="AP6:AS6"/>
    <mergeCell ref="AT6:AW6"/>
    <mergeCell ref="A6:I6"/>
    <mergeCell ref="K6:O6"/>
    <mergeCell ref="P6:S6"/>
    <mergeCell ref="T6:X6"/>
    <mergeCell ref="Y6:AB6"/>
    <mergeCell ref="A1:I1"/>
    <mergeCell ref="A2:C2"/>
    <mergeCell ref="D2:E2"/>
    <mergeCell ref="F2:I4"/>
    <mergeCell ref="A3:C3"/>
    <mergeCell ref="D3:E3"/>
    <mergeCell ref="A4:C4"/>
    <mergeCell ref="D4:E4"/>
  </mergeCells>
  <phoneticPr fontId="24" type="noConversion"/>
  <conditionalFormatting sqref="K9:BI9">
    <cfRule type="expression" dxfId="36" priority="2">
      <formula>AND(K$7&lt;=$G9,(K$7+6)&gt;=$F9)</formula>
    </cfRule>
  </conditionalFormatting>
  <conditionalFormatting sqref="K10:BI10">
    <cfRule type="expression" dxfId="35" priority="3">
      <formula>AND(K$7&lt;=$G10,(K$7+6)&gt;=$F10)</formula>
    </cfRule>
  </conditionalFormatting>
  <conditionalFormatting sqref="K12:BI12">
    <cfRule type="expression" dxfId="34" priority="4">
      <formula>AND(K$7&lt;=$G12,(K$7+6)&gt;=$F12)</formula>
    </cfRule>
  </conditionalFormatting>
  <conditionalFormatting sqref="K13:BI13">
    <cfRule type="expression" dxfId="33" priority="5">
      <formula>AND(K$7&lt;=$G13,(K$7+6)&gt;=$F13)</formula>
    </cfRule>
  </conditionalFormatting>
  <conditionalFormatting sqref="K14:BI14">
    <cfRule type="expression" dxfId="32" priority="6">
      <formula>AND(K$7&lt;=$G14,(K$7+6)&gt;=$F14)</formula>
    </cfRule>
  </conditionalFormatting>
  <conditionalFormatting sqref="K15:BI15">
    <cfRule type="expression" dxfId="31" priority="7">
      <formula>AND(K$7&lt;=$G15,(K$7+6)&gt;=$F15)</formula>
    </cfRule>
  </conditionalFormatting>
  <conditionalFormatting sqref="K16:BI16">
    <cfRule type="expression" dxfId="30" priority="8">
      <formula>AND(K$7&lt;=$G16,(K$7+6)&gt;=$F16)</formula>
    </cfRule>
  </conditionalFormatting>
  <conditionalFormatting sqref="K17:BI17">
    <cfRule type="expression" dxfId="29" priority="9">
      <formula>AND(K$7&lt;=$G17,(K$7+6)&gt;=$F17)</formula>
    </cfRule>
  </conditionalFormatting>
  <conditionalFormatting sqref="K18:BI18">
    <cfRule type="expression" dxfId="28" priority="10">
      <formula>AND(K$7&lt;=$G18,(K$7+6)&gt;=$F18)</formula>
    </cfRule>
  </conditionalFormatting>
  <conditionalFormatting sqref="K19:BI19">
    <cfRule type="expression" dxfId="27" priority="11">
      <formula>AND(K$7&lt;=$G19,(K$7+6)&gt;=$F19)</formula>
    </cfRule>
  </conditionalFormatting>
  <conditionalFormatting sqref="K21:BI21">
    <cfRule type="expression" dxfId="26" priority="12">
      <formula>AND(K$7&lt;=$G21,(K$7+6)&gt;=$F21)</formula>
    </cfRule>
  </conditionalFormatting>
  <conditionalFormatting sqref="K22:BI22">
    <cfRule type="expression" dxfId="25" priority="13">
      <formula>AND(K$7&lt;=$G22,(K$7+6)&gt;=$F22)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22"/>
  <sheetViews>
    <sheetView showGridLines="0" zoomScaleNormal="100" workbookViewId="0">
      <pane xSplit="10" ySplit="7" topLeftCell="K8" activePane="bottomRight" state="frozen"/>
      <selection pane="topRight" activeCell="K1" sqref="K1"/>
      <selection pane="bottomLeft" activeCell="A8" sqref="A8"/>
      <selection pane="bottomRight"/>
    </sheetView>
  </sheetViews>
  <sheetFormatPr defaultColWidth="8.68359375" defaultRowHeight="14.4"/>
  <cols>
    <col min="1" max="1" width="4" customWidth="1"/>
    <col min="2" max="2" width="9" customWidth="1"/>
    <col min="3" max="4" width="22" customWidth="1"/>
    <col min="5" max="5" width="8" customWidth="1"/>
    <col min="6" max="7" width="11" customWidth="1"/>
    <col min="8" max="8" width="24" customWidth="1"/>
    <col min="9" max="9" width="28" customWidth="1"/>
    <col min="10" max="10" width="2" customWidth="1"/>
    <col min="11" max="57" width="5.41796875" customWidth="1"/>
  </cols>
  <sheetData>
    <row r="1" spans="1:57" ht="24" customHeight="1">
      <c r="A1" s="9" t="s">
        <v>64</v>
      </c>
      <c r="B1" s="9"/>
      <c r="C1" s="9"/>
      <c r="D1" s="9"/>
      <c r="E1" s="9"/>
      <c r="F1" s="9"/>
      <c r="G1" s="9"/>
      <c r="H1" s="9"/>
      <c r="I1" s="9"/>
    </row>
    <row r="2" spans="1:57" ht="16.5" customHeight="1">
      <c r="A2" s="8" t="s">
        <v>1</v>
      </c>
      <c r="B2" s="8"/>
      <c r="C2" s="8"/>
      <c r="D2" s="7">
        <v>46461</v>
      </c>
      <c r="E2" s="7"/>
      <c r="F2" s="6" t="s">
        <v>65</v>
      </c>
      <c r="G2" s="6"/>
      <c r="H2" s="6"/>
      <c r="I2" s="6"/>
    </row>
    <row r="3" spans="1:57" ht="16.5" customHeight="1">
      <c r="A3" s="8" t="s">
        <v>3</v>
      </c>
      <c r="B3" s="8"/>
      <c r="C3" s="8"/>
      <c r="D3" s="7">
        <f>G19</f>
        <v>46489</v>
      </c>
      <c r="E3" s="7"/>
      <c r="F3" s="6"/>
      <c r="G3" s="6"/>
      <c r="H3" s="6"/>
      <c r="I3" s="6"/>
    </row>
    <row r="4" spans="1:57" ht="33.75" customHeight="1">
      <c r="A4" s="8" t="s">
        <v>4</v>
      </c>
      <c r="B4" s="8"/>
      <c r="C4" s="8"/>
      <c r="D4" s="5">
        <f>(G19-D2)/7</f>
        <v>4</v>
      </c>
      <c r="E4" s="5"/>
      <c r="F4" s="6"/>
      <c r="G4" s="6"/>
      <c r="H4" s="6"/>
      <c r="I4" s="6"/>
    </row>
    <row r="5" spans="1:57" ht="6" customHeight="1"/>
    <row r="6" spans="1:57" ht="15" customHeight="1">
      <c r="A6" s="4" t="s">
        <v>5</v>
      </c>
      <c r="B6" s="4"/>
      <c r="C6" s="4"/>
      <c r="D6" s="4"/>
      <c r="E6" s="4"/>
      <c r="F6" s="4"/>
      <c r="G6" s="4"/>
      <c r="H6" s="4"/>
      <c r="I6" s="4"/>
      <c r="K6" s="3" t="s">
        <v>6</v>
      </c>
      <c r="L6" s="3"/>
      <c r="M6" s="3"/>
      <c r="N6" s="3"/>
      <c r="O6" s="3"/>
      <c r="P6" s="3" t="s">
        <v>7</v>
      </c>
      <c r="Q6" s="3"/>
      <c r="R6" s="3"/>
      <c r="S6" s="3"/>
      <c r="T6" s="3" t="s">
        <v>8</v>
      </c>
      <c r="U6" s="3"/>
      <c r="V6" s="3"/>
      <c r="W6" s="3"/>
      <c r="X6" s="3"/>
      <c r="Y6" s="3" t="s">
        <v>9</v>
      </c>
      <c r="Z6" s="3"/>
      <c r="AA6" s="3"/>
      <c r="AB6" s="3"/>
      <c r="AC6" s="3" t="s">
        <v>10</v>
      </c>
      <c r="AD6" s="3"/>
      <c r="AE6" s="3"/>
      <c r="AF6" s="3"/>
      <c r="AG6" s="3" t="s">
        <v>11</v>
      </c>
      <c r="AH6" s="3"/>
      <c r="AI6" s="3"/>
      <c r="AJ6" s="3"/>
      <c r="AK6" s="3"/>
      <c r="AL6" s="3" t="s">
        <v>12</v>
      </c>
      <c r="AM6" s="3"/>
      <c r="AN6" s="3"/>
      <c r="AO6" s="3"/>
      <c r="AP6" s="3" t="s">
        <v>13</v>
      </c>
      <c r="AQ6" s="3"/>
      <c r="AR6" s="3"/>
      <c r="AS6" s="3"/>
      <c r="AT6" s="3" t="s">
        <v>14</v>
      </c>
      <c r="AU6" s="3"/>
      <c r="AV6" s="3"/>
      <c r="AW6" s="3"/>
      <c r="AX6" s="3" t="s">
        <v>15</v>
      </c>
      <c r="AY6" s="3"/>
      <c r="AZ6" s="3"/>
      <c r="BA6" s="3"/>
      <c r="BB6" s="3"/>
      <c r="BC6" s="3" t="s">
        <v>16</v>
      </c>
      <c r="BD6" s="3"/>
      <c r="BE6" s="3"/>
    </row>
    <row r="7" spans="1:57" ht="19.5" customHeight="1">
      <c r="A7" s="10" t="s">
        <v>18</v>
      </c>
      <c r="B7" s="11" t="s">
        <v>19</v>
      </c>
      <c r="C7" s="11" t="s">
        <v>20</v>
      </c>
      <c r="D7" s="11" t="s">
        <v>21</v>
      </c>
      <c r="E7" s="11" t="s">
        <v>22</v>
      </c>
      <c r="F7" s="11" t="s">
        <v>23</v>
      </c>
      <c r="G7" s="11" t="s">
        <v>24</v>
      </c>
      <c r="H7" s="11" t="s">
        <v>25</v>
      </c>
      <c r="I7" s="11" t="s">
        <v>26</v>
      </c>
      <c r="K7" s="12">
        <v>46174</v>
      </c>
      <c r="L7" s="12">
        <v>46181</v>
      </c>
      <c r="M7" s="13">
        <v>46188</v>
      </c>
      <c r="N7" s="12">
        <v>46195</v>
      </c>
      <c r="O7" s="12">
        <v>46202</v>
      </c>
      <c r="P7" s="12">
        <v>46209</v>
      </c>
      <c r="Q7" s="12">
        <v>46216</v>
      </c>
      <c r="R7" s="12">
        <v>46223</v>
      </c>
      <c r="S7" s="12">
        <v>46230</v>
      </c>
      <c r="T7" s="12">
        <v>46237</v>
      </c>
      <c r="U7" s="12">
        <v>46244</v>
      </c>
      <c r="V7" s="12">
        <v>46251</v>
      </c>
      <c r="W7" s="12">
        <v>46258</v>
      </c>
      <c r="X7" s="12">
        <v>46265</v>
      </c>
      <c r="Y7" s="12">
        <v>46272</v>
      </c>
      <c r="Z7" s="12">
        <v>46279</v>
      </c>
      <c r="AA7" s="12">
        <v>46286</v>
      </c>
      <c r="AB7" s="12">
        <v>46293</v>
      </c>
      <c r="AC7" s="12">
        <v>46300</v>
      </c>
      <c r="AD7" s="12">
        <v>46307</v>
      </c>
      <c r="AE7" s="12">
        <v>46314</v>
      </c>
      <c r="AF7" s="12">
        <v>46321</v>
      </c>
      <c r="AG7" s="12">
        <v>46328</v>
      </c>
      <c r="AH7" s="12">
        <v>46335</v>
      </c>
      <c r="AI7" s="12">
        <v>46342</v>
      </c>
      <c r="AJ7" s="12">
        <v>46349</v>
      </c>
      <c r="AK7" s="12">
        <v>46356</v>
      </c>
      <c r="AL7" s="12">
        <v>46363</v>
      </c>
      <c r="AM7" s="12">
        <v>46370</v>
      </c>
      <c r="AN7" s="12">
        <v>46377</v>
      </c>
      <c r="AO7" s="12">
        <v>46384</v>
      </c>
      <c r="AP7" s="12">
        <v>46391</v>
      </c>
      <c r="AQ7" s="12">
        <v>46398</v>
      </c>
      <c r="AR7" s="12">
        <v>46405</v>
      </c>
      <c r="AS7" s="12">
        <v>46412</v>
      </c>
      <c r="AT7" s="12">
        <v>46419</v>
      </c>
      <c r="AU7" s="12">
        <v>46426</v>
      </c>
      <c r="AV7" s="12">
        <v>46433</v>
      </c>
      <c r="AW7" s="12">
        <v>46440</v>
      </c>
      <c r="AX7" s="12">
        <v>46447</v>
      </c>
      <c r="AY7" s="12">
        <v>46454</v>
      </c>
      <c r="AZ7" s="14">
        <v>46461</v>
      </c>
      <c r="BA7" s="12">
        <v>46468</v>
      </c>
      <c r="BB7" s="12">
        <v>46475</v>
      </c>
      <c r="BC7" s="12">
        <v>46482</v>
      </c>
      <c r="BD7" s="12">
        <v>46489</v>
      </c>
      <c r="BE7" s="12">
        <v>46496</v>
      </c>
    </row>
    <row r="8" spans="1:57" ht="16.5" customHeight="1">
      <c r="A8" s="8" t="s">
        <v>27</v>
      </c>
      <c r="B8" s="8"/>
      <c r="C8" s="8"/>
      <c r="D8" s="8"/>
      <c r="E8" s="8"/>
      <c r="F8" s="8"/>
      <c r="G8" s="8"/>
      <c r="H8" s="8"/>
      <c r="I8" s="8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</row>
    <row r="9" spans="1:57" ht="25.5" customHeight="1">
      <c r="A9" s="16">
        <v>1</v>
      </c>
      <c r="B9" s="17" t="s">
        <v>28</v>
      </c>
      <c r="C9" s="18" t="s">
        <v>29</v>
      </c>
      <c r="D9" s="19" t="s">
        <v>30</v>
      </c>
      <c r="E9" s="20">
        <f>(G9-F9+1)/7</f>
        <v>13.142857142857142</v>
      </c>
      <c r="F9" s="21">
        <v>46174</v>
      </c>
      <c r="G9" s="21">
        <v>46265</v>
      </c>
      <c r="H9" s="18" t="s">
        <v>31</v>
      </c>
      <c r="I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</row>
    <row r="10" spans="1:57" ht="25.5" customHeight="1">
      <c r="A10" s="16">
        <v>2</v>
      </c>
      <c r="B10" s="17" t="s">
        <v>28</v>
      </c>
      <c r="C10" s="22" t="s">
        <v>32</v>
      </c>
      <c r="D10" s="19" t="s">
        <v>33</v>
      </c>
      <c r="E10" s="20">
        <f>(G10-F10+1)/7</f>
        <v>13.142857142857142</v>
      </c>
      <c r="F10" s="23">
        <f>F9</f>
        <v>46174</v>
      </c>
      <c r="G10" s="23">
        <f>G9</f>
        <v>46265</v>
      </c>
      <c r="H10" s="19" t="s">
        <v>34</v>
      </c>
      <c r="I10" s="19" t="s">
        <v>35</v>
      </c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</row>
    <row r="11" spans="1:57" ht="16.5" customHeight="1">
      <c r="A11" s="8" t="s">
        <v>66</v>
      </c>
      <c r="B11" s="8"/>
      <c r="C11" s="8"/>
      <c r="D11" s="8"/>
      <c r="E11" s="8"/>
      <c r="F11" s="8"/>
      <c r="G11" s="8"/>
      <c r="H11" s="8"/>
      <c r="I11" s="8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</row>
    <row r="12" spans="1:57" ht="25.5" customHeight="1">
      <c r="A12" s="16">
        <v>3</v>
      </c>
      <c r="B12" s="17" t="s">
        <v>28</v>
      </c>
      <c r="C12" s="24" t="s">
        <v>37</v>
      </c>
      <c r="D12" s="19" t="s">
        <v>38</v>
      </c>
      <c r="E12" s="25">
        <v>4</v>
      </c>
      <c r="F12" s="23">
        <f>G9+1</f>
        <v>46266</v>
      </c>
      <c r="G12" s="23">
        <f t="shared" ref="G12:G19" si="0">F12+E12*7-1</f>
        <v>46293</v>
      </c>
      <c r="H12" s="18" t="s">
        <v>39</v>
      </c>
      <c r="I12" s="19" t="s">
        <v>40</v>
      </c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</row>
    <row r="13" spans="1:57" ht="25.5" customHeight="1">
      <c r="A13" s="16">
        <v>4</v>
      </c>
      <c r="B13" s="17" t="s">
        <v>28</v>
      </c>
      <c r="C13" s="26" t="s">
        <v>41</v>
      </c>
      <c r="D13" s="18" t="s">
        <v>42</v>
      </c>
      <c r="E13" s="25">
        <v>8</v>
      </c>
      <c r="F13" s="23">
        <f>G9+1</f>
        <v>46266</v>
      </c>
      <c r="G13" s="23">
        <f t="shared" si="0"/>
        <v>46321</v>
      </c>
      <c r="H13" s="18" t="s">
        <v>43</v>
      </c>
      <c r="I13" s="18" t="s">
        <v>44</v>
      </c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</row>
    <row r="14" spans="1:57" ht="25.5" customHeight="1">
      <c r="A14" s="16">
        <v>5</v>
      </c>
      <c r="B14" s="17" t="s">
        <v>28</v>
      </c>
      <c r="C14" s="27" t="s">
        <v>45</v>
      </c>
      <c r="D14" s="18" t="s">
        <v>46</v>
      </c>
      <c r="E14" s="25">
        <v>8</v>
      </c>
      <c r="F14" s="23">
        <f>MAX(G12,G13)+1</f>
        <v>46322</v>
      </c>
      <c r="G14" s="23">
        <f t="shared" si="0"/>
        <v>46377</v>
      </c>
      <c r="H14" s="18" t="s">
        <v>31</v>
      </c>
      <c r="I14" s="18" t="s">
        <v>47</v>
      </c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</row>
    <row r="15" spans="1:57" ht="25.5" customHeight="1">
      <c r="A15" s="16">
        <v>6</v>
      </c>
      <c r="B15" s="17" t="s">
        <v>28</v>
      </c>
      <c r="C15" s="27" t="s">
        <v>45</v>
      </c>
      <c r="D15" s="19" t="s">
        <v>48</v>
      </c>
      <c r="E15" s="25">
        <v>8</v>
      </c>
      <c r="F15" s="23">
        <f>F14</f>
        <v>46322</v>
      </c>
      <c r="G15" s="23">
        <f t="shared" si="0"/>
        <v>46377</v>
      </c>
      <c r="H15" s="18" t="s">
        <v>31</v>
      </c>
      <c r="I15" s="18" t="s">
        <v>49</v>
      </c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</row>
    <row r="16" spans="1:57" ht="25.5" customHeight="1">
      <c r="A16" s="16">
        <v>7</v>
      </c>
      <c r="B16" s="17" t="s">
        <v>28</v>
      </c>
      <c r="C16" s="27" t="s">
        <v>50</v>
      </c>
      <c r="D16" s="18" t="s">
        <v>51</v>
      </c>
      <c r="E16" s="25">
        <v>12</v>
      </c>
      <c r="F16" s="23">
        <f>G14+1</f>
        <v>46378</v>
      </c>
      <c r="G16" s="23">
        <f t="shared" si="0"/>
        <v>46461</v>
      </c>
      <c r="H16" s="18" t="s">
        <v>31</v>
      </c>
      <c r="I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</row>
    <row r="17" spans="1:57" ht="25.5" customHeight="1">
      <c r="A17" s="16">
        <v>8</v>
      </c>
      <c r="B17" s="17" t="s">
        <v>28</v>
      </c>
      <c r="C17" s="28" t="s">
        <v>67</v>
      </c>
      <c r="D17" s="18" t="s">
        <v>52</v>
      </c>
      <c r="E17" s="25">
        <v>4</v>
      </c>
      <c r="F17" s="23">
        <f>MAX(G12,G13)+1</f>
        <v>46322</v>
      </c>
      <c r="G17" s="23">
        <f t="shared" si="0"/>
        <v>46349</v>
      </c>
      <c r="H17" s="18" t="s">
        <v>68</v>
      </c>
      <c r="I17" s="18" t="s">
        <v>69</v>
      </c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</row>
    <row r="18" spans="1:57" ht="25.5" customHeight="1">
      <c r="A18" s="16">
        <v>9</v>
      </c>
      <c r="B18" s="17" t="s">
        <v>28</v>
      </c>
      <c r="C18" s="27" t="s">
        <v>50</v>
      </c>
      <c r="D18" s="18" t="s">
        <v>54</v>
      </c>
      <c r="E18" s="25">
        <v>2</v>
      </c>
      <c r="F18" s="23">
        <f>G16+1</f>
        <v>46462</v>
      </c>
      <c r="G18" s="23">
        <f t="shared" si="0"/>
        <v>46475</v>
      </c>
      <c r="H18" s="18" t="s">
        <v>31</v>
      </c>
      <c r="I18" s="18" t="s">
        <v>70</v>
      </c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</row>
    <row r="19" spans="1:57" ht="25.5" customHeight="1">
      <c r="A19" s="16">
        <v>10</v>
      </c>
      <c r="B19" s="17" t="s">
        <v>28</v>
      </c>
      <c r="C19" s="27" t="s">
        <v>50</v>
      </c>
      <c r="D19" s="18" t="s">
        <v>56</v>
      </c>
      <c r="E19" s="25">
        <v>2</v>
      </c>
      <c r="F19" s="23">
        <f>G18+1</f>
        <v>46476</v>
      </c>
      <c r="G19" s="23">
        <f t="shared" si="0"/>
        <v>46489</v>
      </c>
      <c r="H19" s="18" t="s">
        <v>31</v>
      </c>
      <c r="I19" s="18" t="s">
        <v>55</v>
      </c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</row>
    <row r="20" spans="1:57" ht="16.5" customHeight="1">
      <c r="A20" s="8" t="s">
        <v>57</v>
      </c>
      <c r="B20" s="8"/>
      <c r="C20" s="8"/>
      <c r="D20" s="8"/>
      <c r="E20" s="8"/>
      <c r="F20" s="8"/>
      <c r="G20" s="8"/>
      <c r="H20" s="8"/>
      <c r="I20" s="8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</row>
    <row r="21" spans="1:57" ht="25.5" customHeight="1">
      <c r="A21" s="16">
        <v>11</v>
      </c>
      <c r="B21" s="17" t="s">
        <v>58</v>
      </c>
      <c r="C21" s="18" t="s">
        <v>59</v>
      </c>
      <c r="D21" s="19" t="s">
        <v>60</v>
      </c>
      <c r="E21" s="25"/>
      <c r="F21" s="21">
        <v>46174</v>
      </c>
      <c r="G21" s="21">
        <v>46502</v>
      </c>
      <c r="H21" s="18" t="s">
        <v>61</v>
      </c>
      <c r="I21" s="18" t="s">
        <v>62</v>
      </c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</row>
    <row r="22" spans="1:57" ht="25.5" customHeight="1">
      <c r="A22" s="16">
        <v>12</v>
      </c>
      <c r="B22" s="17" t="s">
        <v>58</v>
      </c>
      <c r="C22" s="18" t="s">
        <v>59</v>
      </c>
      <c r="D22" s="19" t="s">
        <v>63</v>
      </c>
      <c r="E22" s="25"/>
      <c r="F22" s="21">
        <v>46174</v>
      </c>
      <c r="G22" s="21">
        <v>46502</v>
      </c>
      <c r="H22" s="18" t="s">
        <v>61</v>
      </c>
      <c r="I22" s="18" t="s">
        <v>62</v>
      </c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</row>
  </sheetData>
  <mergeCells count="23">
    <mergeCell ref="AX6:BB6"/>
    <mergeCell ref="BC6:BE6"/>
    <mergeCell ref="A8:I8"/>
    <mergeCell ref="A11:I11"/>
    <mergeCell ref="A20:I20"/>
    <mergeCell ref="AC6:AF6"/>
    <mergeCell ref="AG6:AK6"/>
    <mergeCell ref="AL6:AO6"/>
    <mergeCell ref="AP6:AS6"/>
    <mergeCell ref="AT6:AW6"/>
    <mergeCell ref="A6:I6"/>
    <mergeCell ref="K6:O6"/>
    <mergeCell ref="P6:S6"/>
    <mergeCell ref="T6:X6"/>
    <mergeCell ref="Y6:AB6"/>
    <mergeCell ref="A1:I1"/>
    <mergeCell ref="A2:C2"/>
    <mergeCell ref="D2:E2"/>
    <mergeCell ref="F2:I4"/>
    <mergeCell ref="A3:C3"/>
    <mergeCell ref="D3:E3"/>
    <mergeCell ref="A4:C4"/>
    <mergeCell ref="D4:E4"/>
  </mergeCells>
  <phoneticPr fontId="24" type="noConversion"/>
  <conditionalFormatting sqref="K9:BE9">
    <cfRule type="expression" dxfId="24" priority="2">
      <formula>AND(K$7&lt;=$G9,(K$7+6)&gt;=$F9)</formula>
    </cfRule>
  </conditionalFormatting>
  <conditionalFormatting sqref="K10:BE10">
    <cfRule type="expression" dxfId="23" priority="3">
      <formula>AND(K$7&lt;=$G10,(K$7+6)&gt;=$F10)</formula>
    </cfRule>
  </conditionalFormatting>
  <conditionalFormatting sqref="K12:BE12">
    <cfRule type="expression" dxfId="22" priority="4">
      <formula>AND(K$7&lt;=$G12,(K$7+6)&gt;=$F12)</formula>
    </cfRule>
  </conditionalFormatting>
  <conditionalFormatting sqref="K13:BE13">
    <cfRule type="expression" dxfId="21" priority="5">
      <formula>AND(K$7&lt;=$G13,(K$7+6)&gt;=$F13)</formula>
    </cfRule>
  </conditionalFormatting>
  <conditionalFormatting sqref="K14:BE14">
    <cfRule type="expression" dxfId="20" priority="6">
      <formula>AND(K$7&lt;=$G14,(K$7+6)&gt;=$F14)</formula>
    </cfRule>
  </conditionalFormatting>
  <conditionalFormatting sqref="K15:BE15">
    <cfRule type="expression" dxfId="19" priority="7">
      <formula>AND(K$7&lt;=$G15,(K$7+6)&gt;=$F15)</formula>
    </cfRule>
  </conditionalFormatting>
  <conditionalFormatting sqref="K16:BE16">
    <cfRule type="expression" dxfId="18" priority="8">
      <formula>AND(K$7&lt;=$G16,(K$7+6)&gt;=$F16)</formula>
    </cfRule>
  </conditionalFormatting>
  <conditionalFormatting sqref="K17:BE17">
    <cfRule type="expression" dxfId="17" priority="9">
      <formula>AND(K$7&lt;=$G17,(K$7+6)&gt;=$F17)</formula>
    </cfRule>
  </conditionalFormatting>
  <conditionalFormatting sqref="K18:BE18">
    <cfRule type="expression" dxfId="16" priority="10">
      <formula>AND(K$7&lt;=$G18,(K$7+6)&gt;=$F18)</formula>
    </cfRule>
  </conditionalFormatting>
  <conditionalFormatting sqref="K19:BE19">
    <cfRule type="expression" dxfId="15" priority="11">
      <formula>AND(K$7&lt;=$G19,(K$7+6)&gt;=$F19)</formula>
    </cfRule>
  </conditionalFormatting>
  <conditionalFormatting sqref="K21:BE21">
    <cfRule type="expression" dxfId="14" priority="12">
      <formula>AND(K$7&lt;=$G21,(K$7+6)&gt;=$F21)</formula>
    </cfRule>
  </conditionalFormatting>
  <conditionalFormatting sqref="K22:BE22">
    <cfRule type="expression" dxfId="13" priority="13">
      <formula>AND(K$7&lt;=$G22,(K$7+6)&gt;=$F22)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24"/>
  <sheetViews>
    <sheetView showGridLines="0" zoomScaleNormal="100" workbookViewId="0">
      <pane xSplit="10" ySplit="8" topLeftCell="K9" activePane="bottomRight" state="frozen"/>
      <selection pane="topRight" activeCell="K1" sqref="K1"/>
      <selection pane="bottomLeft" activeCell="A9" sqref="A9"/>
      <selection pane="bottomRight"/>
    </sheetView>
  </sheetViews>
  <sheetFormatPr defaultColWidth="8.68359375" defaultRowHeight="14.4"/>
  <cols>
    <col min="1" max="1" width="4" customWidth="1"/>
    <col min="2" max="2" width="9" customWidth="1"/>
    <col min="3" max="4" width="22" customWidth="1"/>
    <col min="5" max="5" width="8" customWidth="1"/>
    <col min="6" max="7" width="11" customWidth="1"/>
    <col min="8" max="8" width="24" customWidth="1"/>
    <col min="9" max="9" width="28" customWidth="1"/>
    <col min="10" max="10" width="2" customWidth="1"/>
    <col min="11" max="52" width="5.41796875" customWidth="1"/>
  </cols>
  <sheetData>
    <row r="1" spans="1:52" ht="24" customHeight="1">
      <c r="A1" s="9" t="s">
        <v>71</v>
      </c>
      <c r="B1" s="9"/>
      <c r="C1" s="9"/>
      <c r="D1" s="9"/>
      <c r="E1" s="9"/>
      <c r="F1" s="9"/>
      <c r="G1" s="9"/>
      <c r="H1" s="9"/>
      <c r="I1" s="9"/>
    </row>
    <row r="2" spans="1:52" ht="16.5" customHeight="1">
      <c r="A2" s="8" t="s">
        <v>1</v>
      </c>
      <c r="B2" s="8"/>
      <c r="C2" s="8"/>
      <c r="D2" s="7">
        <v>46461</v>
      </c>
      <c r="E2" s="7"/>
      <c r="F2" s="2" t="s">
        <v>72</v>
      </c>
      <c r="G2" s="2"/>
      <c r="H2" s="2"/>
      <c r="I2" s="2"/>
    </row>
    <row r="3" spans="1:52" ht="16.5" customHeight="1">
      <c r="A3" s="8" t="s">
        <v>3</v>
      </c>
      <c r="B3" s="8"/>
      <c r="C3" s="8"/>
      <c r="D3" s="7">
        <f>G21</f>
        <v>46514</v>
      </c>
      <c r="E3" s="7"/>
      <c r="F3" s="2"/>
      <c r="G3" s="2"/>
      <c r="H3" s="2"/>
      <c r="I3" s="2"/>
    </row>
    <row r="4" spans="1:52" ht="33.75" customHeight="1">
      <c r="A4" s="8" t="s">
        <v>4</v>
      </c>
      <c r="B4" s="8"/>
      <c r="C4" s="8"/>
      <c r="D4" s="5">
        <f>(G21-D2)/7</f>
        <v>7.5714285714285712</v>
      </c>
      <c r="E4" s="5"/>
      <c r="F4" s="2"/>
      <c r="G4" s="2"/>
      <c r="H4" s="2"/>
      <c r="I4" s="2"/>
    </row>
    <row r="5" spans="1:52" ht="6" customHeight="1"/>
    <row r="6" spans="1:52" ht="15" customHeight="1">
      <c r="A6" s="4" t="s">
        <v>5</v>
      </c>
      <c r="B6" s="4"/>
      <c r="C6" s="4"/>
      <c r="D6" s="4"/>
      <c r="E6" s="4"/>
      <c r="F6" s="4"/>
      <c r="G6" s="4"/>
      <c r="H6" s="4"/>
      <c r="I6" s="4"/>
      <c r="K6" s="3" t="s">
        <v>6</v>
      </c>
      <c r="L6" s="3"/>
      <c r="M6" s="3"/>
      <c r="N6" s="3"/>
      <c r="O6" s="3"/>
      <c r="P6" s="3" t="s">
        <v>7</v>
      </c>
      <c r="Q6" s="3"/>
      <c r="R6" s="3"/>
      <c r="S6" s="3"/>
      <c r="T6" s="3" t="s">
        <v>8</v>
      </c>
      <c r="U6" s="3"/>
      <c r="V6" s="3"/>
      <c r="W6" s="3"/>
      <c r="X6" s="3"/>
      <c r="Y6" s="3" t="s">
        <v>9</v>
      </c>
      <c r="Z6" s="3"/>
      <c r="AA6" s="3"/>
      <c r="AB6" s="3"/>
      <c r="AC6" s="3" t="s">
        <v>10</v>
      </c>
      <c r="AD6" s="3"/>
      <c r="AE6" s="3"/>
      <c r="AF6" s="3"/>
      <c r="AG6" s="3" t="s">
        <v>11</v>
      </c>
      <c r="AH6" s="3"/>
      <c r="AI6" s="3"/>
      <c r="AJ6" s="3"/>
      <c r="AK6" s="3"/>
      <c r="AL6" s="3" t="s">
        <v>12</v>
      </c>
      <c r="AM6" s="3"/>
      <c r="AN6" s="3"/>
      <c r="AO6" s="3"/>
      <c r="AP6" s="3" t="s">
        <v>13</v>
      </c>
      <c r="AQ6" s="3"/>
      <c r="AR6" s="3"/>
      <c r="AS6" s="3"/>
      <c r="AT6" s="3" t="s">
        <v>14</v>
      </c>
      <c r="AU6" s="3"/>
      <c r="AV6" s="3"/>
      <c r="AW6" s="3"/>
      <c r="AX6" s="3" t="s">
        <v>15</v>
      </c>
      <c r="AY6" s="3"/>
      <c r="AZ6" s="3"/>
    </row>
    <row r="7" spans="1:52" ht="19.5" customHeight="1">
      <c r="A7" s="10" t="s">
        <v>18</v>
      </c>
      <c r="B7" s="11" t="s">
        <v>19</v>
      </c>
      <c r="C7" s="11" t="s">
        <v>20</v>
      </c>
      <c r="D7" s="11" t="s">
        <v>21</v>
      </c>
      <c r="E7" s="11" t="s">
        <v>22</v>
      </c>
      <c r="F7" s="11" t="s">
        <v>23</v>
      </c>
      <c r="G7" s="11" t="s">
        <v>24</v>
      </c>
      <c r="H7" s="11" t="s">
        <v>25</v>
      </c>
      <c r="I7" s="11" t="s">
        <v>26</v>
      </c>
      <c r="K7" s="12">
        <v>46174</v>
      </c>
      <c r="L7" s="12">
        <v>46181</v>
      </c>
      <c r="M7" s="13">
        <v>46188</v>
      </c>
      <c r="N7" s="12">
        <v>46195</v>
      </c>
      <c r="O7" s="12">
        <v>46202</v>
      </c>
      <c r="P7" s="12">
        <v>46209</v>
      </c>
      <c r="Q7" s="12">
        <v>46216</v>
      </c>
      <c r="R7" s="12">
        <v>46223</v>
      </c>
      <c r="S7" s="12">
        <v>46230</v>
      </c>
      <c r="T7" s="12">
        <v>46237</v>
      </c>
      <c r="U7" s="12">
        <v>46244</v>
      </c>
      <c r="V7" s="12">
        <v>46251</v>
      </c>
      <c r="W7" s="12">
        <v>46258</v>
      </c>
      <c r="X7" s="12">
        <v>46265</v>
      </c>
      <c r="Y7" s="12">
        <v>46272</v>
      </c>
      <c r="Z7" s="12">
        <v>46279</v>
      </c>
      <c r="AA7" s="12">
        <v>46286</v>
      </c>
      <c r="AB7" s="12">
        <v>46293</v>
      </c>
      <c r="AC7" s="12">
        <v>46300</v>
      </c>
      <c r="AD7" s="12">
        <v>46307</v>
      </c>
      <c r="AE7" s="12">
        <v>46314</v>
      </c>
      <c r="AF7" s="12">
        <v>46321</v>
      </c>
      <c r="AG7" s="12">
        <v>46328</v>
      </c>
      <c r="AH7" s="12">
        <v>46335</v>
      </c>
      <c r="AI7" s="12">
        <v>46342</v>
      </c>
      <c r="AJ7" s="12">
        <v>46349</v>
      </c>
      <c r="AK7" s="12">
        <v>46356</v>
      </c>
      <c r="AL7" s="12">
        <v>46363</v>
      </c>
      <c r="AM7" s="12">
        <v>46370</v>
      </c>
      <c r="AN7" s="12">
        <v>46377</v>
      </c>
      <c r="AO7" s="12">
        <v>46384</v>
      </c>
      <c r="AP7" s="12">
        <v>46391</v>
      </c>
      <c r="AQ7" s="12">
        <v>46398</v>
      </c>
      <c r="AR7" s="12">
        <v>46405</v>
      </c>
      <c r="AS7" s="12">
        <v>46412</v>
      </c>
      <c r="AT7" s="12">
        <v>46419</v>
      </c>
      <c r="AU7" s="12">
        <v>46426</v>
      </c>
      <c r="AV7" s="12">
        <v>46433</v>
      </c>
      <c r="AW7" s="12">
        <v>46440</v>
      </c>
      <c r="AX7" s="12">
        <v>46447</v>
      </c>
      <c r="AY7" s="12">
        <v>46454</v>
      </c>
      <c r="AZ7" s="14">
        <v>46461</v>
      </c>
    </row>
    <row r="8" spans="1:52" ht="12" customHeight="1">
      <c r="A8" s="1" t="s">
        <v>73</v>
      </c>
      <c r="B8" s="1"/>
      <c r="C8" s="1"/>
      <c r="D8" s="1"/>
      <c r="E8" s="1"/>
      <c r="F8" s="1"/>
      <c r="G8" s="1"/>
      <c r="H8" s="1"/>
      <c r="I8" s="1"/>
      <c r="K8" s="19"/>
      <c r="L8" s="19"/>
      <c r="M8" s="19"/>
      <c r="N8" s="19"/>
      <c r="O8" s="19"/>
      <c r="P8" s="19"/>
      <c r="Q8" s="19"/>
      <c r="R8" s="1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</row>
    <row r="9" spans="1:52" ht="16.5" customHeight="1">
      <c r="A9" s="8" t="s">
        <v>27</v>
      </c>
      <c r="B9" s="8"/>
      <c r="C9" s="8"/>
      <c r="D9" s="8"/>
      <c r="E9" s="8"/>
      <c r="F9" s="8"/>
      <c r="G9" s="8"/>
      <c r="H9" s="8"/>
      <c r="I9" s="8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</row>
    <row r="10" spans="1:52" ht="25.5" customHeight="1">
      <c r="A10" s="16">
        <v>1</v>
      </c>
      <c r="B10" s="17" t="s">
        <v>28</v>
      </c>
      <c r="C10" s="18" t="s">
        <v>29</v>
      </c>
      <c r="D10" s="19" t="s">
        <v>30</v>
      </c>
      <c r="E10" s="20">
        <f>(G10-F10+1)/7</f>
        <v>13.142857142857142</v>
      </c>
      <c r="F10" s="21">
        <v>46174</v>
      </c>
      <c r="G10" s="21">
        <v>46265</v>
      </c>
      <c r="H10" s="18" t="s">
        <v>31</v>
      </c>
      <c r="I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</row>
    <row r="11" spans="1:52" ht="25.5" customHeight="1">
      <c r="A11" s="16">
        <v>2</v>
      </c>
      <c r="B11" s="17" t="s">
        <v>28</v>
      </c>
      <c r="C11" s="22" t="s">
        <v>32</v>
      </c>
      <c r="D11" s="19" t="s">
        <v>33</v>
      </c>
      <c r="E11" s="20">
        <f>(G11-F11+1)/7</f>
        <v>13.142857142857142</v>
      </c>
      <c r="F11" s="23">
        <f>F10</f>
        <v>46174</v>
      </c>
      <c r="G11" s="23">
        <f>G10</f>
        <v>46265</v>
      </c>
      <c r="H11" s="19" t="s">
        <v>34</v>
      </c>
      <c r="I11" s="19" t="s">
        <v>35</v>
      </c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</row>
    <row r="12" spans="1:52" ht="16.5" customHeight="1">
      <c r="A12" s="8" t="s">
        <v>74</v>
      </c>
      <c r="B12" s="8"/>
      <c r="C12" s="8"/>
      <c r="D12" s="8"/>
      <c r="E12" s="8"/>
      <c r="F12" s="8"/>
      <c r="G12" s="8"/>
      <c r="H12" s="8"/>
      <c r="I12" s="8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</row>
    <row r="13" spans="1:52" ht="25.5" customHeight="1">
      <c r="A13" s="16">
        <v>3</v>
      </c>
      <c r="B13" s="17" t="s">
        <v>28</v>
      </c>
      <c r="C13" s="18" t="s">
        <v>75</v>
      </c>
      <c r="D13" s="18" t="s">
        <v>76</v>
      </c>
      <c r="E13" s="25">
        <v>4</v>
      </c>
      <c r="F13" s="21">
        <v>46235</v>
      </c>
      <c r="G13" s="23">
        <f t="shared" ref="G13:G21" si="0">F13+E13*7-1</f>
        <v>46262</v>
      </c>
      <c r="H13" s="18" t="s">
        <v>77</v>
      </c>
      <c r="I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</row>
    <row r="14" spans="1:52" ht="25.5" customHeight="1">
      <c r="A14" s="16">
        <v>4</v>
      </c>
      <c r="B14" s="17" t="s">
        <v>28</v>
      </c>
      <c r="C14" s="24" t="s">
        <v>78</v>
      </c>
      <c r="D14" s="19" t="s">
        <v>38</v>
      </c>
      <c r="E14" s="25">
        <v>4</v>
      </c>
      <c r="F14" s="23">
        <f>G13+1</f>
        <v>46263</v>
      </c>
      <c r="G14" s="23">
        <f t="shared" si="0"/>
        <v>46290</v>
      </c>
      <c r="H14" s="18" t="s">
        <v>79</v>
      </c>
      <c r="I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</row>
    <row r="15" spans="1:52" ht="25.5" customHeight="1">
      <c r="A15" s="16">
        <v>5</v>
      </c>
      <c r="B15" s="17" t="s">
        <v>28</v>
      </c>
      <c r="C15" s="26" t="s">
        <v>80</v>
      </c>
      <c r="D15" s="18" t="s">
        <v>42</v>
      </c>
      <c r="E15" s="25">
        <v>8</v>
      </c>
      <c r="F15" s="23">
        <f>G13+1</f>
        <v>46263</v>
      </c>
      <c r="G15" s="23">
        <f t="shared" si="0"/>
        <v>46318</v>
      </c>
      <c r="H15" s="18" t="s">
        <v>81</v>
      </c>
      <c r="I15" s="18" t="s">
        <v>44</v>
      </c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</row>
    <row r="16" spans="1:52" ht="25.5" customHeight="1">
      <c r="A16" s="16">
        <v>6</v>
      </c>
      <c r="B16" s="17" t="s">
        <v>28</v>
      </c>
      <c r="C16" s="27" t="s">
        <v>82</v>
      </c>
      <c r="D16" s="18" t="s">
        <v>46</v>
      </c>
      <c r="E16" s="25">
        <v>8</v>
      </c>
      <c r="F16" s="23">
        <f>MAX(G14,G15)+1</f>
        <v>46319</v>
      </c>
      <c r="G16" s="23">
        <f t="shared" si="0"/>
        <v>46374</v>
      </c>
      <c r="H16" s="18" t="s">
        <v>83</v>
      </c>
      <c r="I16" s="18" t="s">
        <v>47</v>
      </c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</row>
    <row r="17" spans="1:52" ht="25.5" customHeight="1">
      <c r="A17" s="16">
        <v>7</v>
      </c>
      <c r="B17" s="17" t="s">
        <v>28</v>
      </c>
      <c r="C17" s="27" t="s">
        <v>82</v>
      </c>
      <c r="D17" s="19" t="s">
        <v>48</v>
      </c>
      <c r="E17" s="25">
        <v>8</v>
      </c>
      <c r="F17" s="23">
        <f>F16</f>
        <v>46319</v>
      </c>
      <c r="G17" s="23">
        <f t="shared" si="0"/>
        <v>46374</v>
      </c>
      <c r="H17" s="18" t="s">
        <v>83</v>
      </c>
      <c r="I17" s="18" t="s">
        <v>49</v>
      </c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</row>
    <row r="18" spans="1:52" ht="25.5" customHeight="1">
      <c r="A18" s="16">
        <v>8</v>
      </c>
      <c r="B18" s="17" t="s">
        <v>28</v>
      </c>
      <c r="C18" s="27" t="s">
        <v>84</v>
      </c>
      <c r="D18" s="18" t="s">
        <v>51</v>
      </c>
      <c r="E18" s="25">
        <v>12</v>
      </c>
      <c r="F18" s="23">
        <f>G16+1</f>
        <v>46375</v>
      </c>
      <c r="G18" s="23">
        <f t="shared" si="0"/>
        <v>46458</v>
      </c>
      <c r="H18" s="18" t="s">
        <v>31</v>
      </c>
      <c r="I18" s="18" t="s">
        <v>85</v>
      </c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</row>
    <row r="19" spans="1:52" ht="25.5" customHeight="1">
      <c r="A19" s="16">
        <v>9</v>
      </c>
      <c r="B19" s="17" t="s">
        <v>28</v>
      </c>
      <c r="C19" s="27" t="s">
        <v>50</v>
      </c>
      <c r="D19" s="18" t="s">
        <v>52</v>
      </c>
      <c r="E19" s="25">
        <v>4</v>
      </c>
      <c r="F19" s="23">
        <f>G18+1</f>
        <v>46459</v>
      </c>
      <c r="G19" s="23">
        <f t="shared" si="0"/>
        <v>46486</v>
      </c>
      <c r="H19" s="18" t="s">
        <v>31</v>
      </c>
      <c r="I19" s="18" t="s">
        <v>53</v>
      </c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</row>
    <row r="20" spans="1:52" ht="25.5" customHeight="1">
      <c r="A20" s="16">
        <v>10</v>
      </c>
      <c r="B20" s="17" t="s">
        <v>28</v>
      </c>
      <c r="C20" s="27" t="s">
        <v>50</v>
      </c>
      <c r="D20" s="18" t="s">
        <v>54</v>
      </c>
      <c r="E20" s="25">
        <v>2</v>
      </c>
      <c r="F20" s="23">
        <f>G19+1</f>
        <v>46487</v>
      </c>
      <c r="G20" s="23">
        <f t="shared" si="0"/>
        <v>46500</v>
      </c>
      <c r="H20" s="18" t="s">
        <v>31</v>
      </c>
      <c r="I20" s="18" t="s">
        <v>55</v>
      </c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</row>
    <row r="21" spans="1:52" ht="25.5" customHeight="1">
      <c r="A21" s="16">
        <v>11</v>
      </c>
      <c r="B21" s="17" t="s">
        <v>28</v>
      </c>
      <c r="C21" s="27" t="s">
        <v>50</v>
      </c>
      <c r="D21" s="18" t="s">
        <v>56</v>
      </c>
      <c r="E21" s="25">
        <v>2</v>
      </c>
      <c r="F21" s="23">
        <f>G20+1</f>
        <v>46501</v>
      </c>
      <c r="G21" s="23">
        <f t="shared" si="0"/>
        <v>46514</v>
      </c>
      <c r="H21" s="18" t="s">
        <v>31</v>
      </c>
      <c r="I21" s="18" t="s">
        <v>55</v>
      </c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</row>
    <row r="22" spans="1:52" ht="16.5" customHeight="1">
      <c r="A22" s="8" t="s">
        <v>86</v>
      </c>
      <c r="B22" s="8"/>
      <c r="C22" s="8"/>
      <c r="D22" s="8"/>
      <c r="E22" s="8"/>
      <c r="F22" s="8"/>
      <c r="G22" s="8"/>
      <c r="H22" s="8"/>
      <c r="I22" s="8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</row>
    <row r="23" spans="1:52" ht="25.5" customHeight="1">
      <c r="A23" s="16">
        <v>12</v>
      </c>
      <c r="B23" s="17" t="s">
        <v>58</v>
      </c>
      <c r="C23" s="18" t="s">
        <v>59</v>
      </c>
      <c r="D23" s="19" t="s">
        <v>60</v>
      </c>
      <c r="E23" s="25"/>
      <c r="F23" s="21">
        <v>46174</v>
      </c>
      <c r="G23" s="21">
        <v>46461</v>
      </c>
      <c r="H23" s="18" t="s">
        <v>61</v>
      </c>
      <c r="I23" s="18" t="s">
        <v>87</v>
      </c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</row>
    <row r="24" spans="1:52" ht="25.5" customHeight="1">
      <c r="A24" s="16">
        <v>13</v>
      </c>
      <c r="B24" s="17" t="s">
        <v>58</v>
      </c>
      <c r="C24" s="18" t="s">
        <v>59</v>
      </c>
      <c r="D24" s="19" t="s">
        <v>63</v>
      </c>
      <c r="E24" s="25"/>
      <c r="F24" s="21">
        <v>46174</v>
      </c>
      <c r="G24" s="21">
        <v>46461</v>
      </c>
      <c r="H24" s="18" t="s">
        <v>61</v>
      </c>
      <c r="I24" s="18" t="s">
        <v>87</v>
      </c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</row>
  </sheetData>
  <mergeCells count="23">
    <mergeCell ref="AX6:AZ6"/>
    <mergeCell ref="A8:I8"/>
    <mergeCell ref="A9:I9"/>
    <mergeCell ref="A12:I12"/>
    <mergeCell ref="A22:I22"/>
    <mergeCell ref="AC6:AF6"/>
    <mergeCell ref="AG6:AK6"/>
    <mergeCell ref="AL6:AO6"/>
    <mergeCell ref="AP6:AS6"/>
    <mergeCell ref="AT6:AW6"/>
    <mergeCell ref="A6:I6"/>
    <mergeCell ref="K6:O6"/>
    <mergeCell ref="P6:S6"/>
    <mergeCell ref="T6:X6"/>
    <mergeCell ref="Y6:AB6"/>
    <mergeCell ref="A1:I1"/>
    <mergeCell ref="A2:C2"/>
    <mergeCell ref="D2:E2"/>
    <mergeCell ref="F2:I4"/>
    <mergeCell ref="A3:C3"/>
    <mergeCell ref="D3:E3"/>
    <mergeCell ref="A4:C4"/>
    <mergeCell ref="D4:E4"/>
  </mergeCells>
  <phoneticPr fontId="24" type="noConversion"/>
  <conditionalFormatting sqref="K10:AZ10">
    <cfRule type="expression" dxfId="12" priority="2">
      <formula>AND(K$7&lt;=$G10,(K$7+6)&gt;=$F10)</formula>
    </cfRule>
  </conditionalFormatting>
  <conditionalFormatting sqref="K11:AZ11">
    <cfRule type="expression" dxfId="11" priority="3">
      <formula>AND(K$7&lt;=$G11,(K$7+6)&gt;=$F11)</formula>
    </cfRule>
  </conditionalFormatting>
  <conditionalFormatting sqref="K13:AZ13">
    <cfRule type="expression" dxfId="10" priority="4">
      <formula>AND(K$7&lt;=$G13,(K$7+6)&gt;=$F13)</formula>
    </cfRule>
  </conditionalFormatting>
  <conditionalFormatting sqref="K14:AZ14">
    <cfRule type="expression" dxfId="9" priority="5">
      <formula>AND(K$7&lt;=$G14,(K$7+6)&gt;=$F14)</formula>
    </cfRule>
  </conditionalFormatting>
  <conditionalFormatting sqref="K15:AZ15">
    <cfRule type="expression" dxfId="8" priority="6">
      <formula>AND(K$7&lt;=$G15,(K$7+6)&gt;=$F15)</formula>
    </cfRule>
  </conditionalFormatting>
  <conditionalFormatting sqref="K16:AZ16">
    <cfRule type="expression" dxfId="7" priority="7">
      <formula>AND(K$7&lt;=$G16,(K$7+6)&gt;=$F16)</formula>
    </cfRule>
  </conditionalFormatting>
  <conditionalFormatting sqref="K17:AZ17">
    <cfRule type="expression" dxfId="6" priority="8">
      <formula>AND(K$7&lt;=$G17,(K$7+6)&gt;=$F17)</formula>
    </cfRule>
  </conditionalFormatting>
  <conditionalFormatting sqref="K18:AZ18">
    <cfRule type="expression" dxfId="5" priority="9">
      <formula>AND(K$7&lt;=$G18,(K$7+6)&gt;=$F18)</formula>
    </cfRule>
  </conditionalFormatting>
  <conditionalFormatting sqref="K19:AZ19">
    <cfRule type="expression" dxfId="4" priority="10">
      <formula>AND(K$7&lt;=$G19,(K$7+6)&gt;=$F19)</formula>
    </cfRule>
  </conditionalFormatting>
  <conditionalFormatting sqref="K20:AZ20">
    <cfRule type="expression" dxfId="3" priority="11">
      <formula>AND(K$7&lt;=$G20,(K$7+6)&gt;=$F20)</formula>
    </cfRule>
  </conditionalFormatting>
  <conditionalFormatting sqref="K21:AZ21">
    <cfRule type="expression" dxfId="2" priority="12">
      <formula>AND(K$7&lt;=$G21,(K$7+6)&gt;=$F21)</formula>
    </cfRule>
  </conditionalFormatting>
  <conditionalFormatting sqref="K23:AZ23">
    <cfRule type="expression" dxfId="1" priority="13">
      <formula>AND(K$7&lt;=$G23,(K$7+6)&gt;=$F23)</formula>
    </cfRule>
  </conditionalFormatting>
  <conditionalFormatting sqref="K24:AZ24">
    <cfRule type="expression" dxfId="0" priority="14">
      <formula>AND(K$7&lt;=$G24,(K$7+6)&gt;=$F24)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Plan A</vt:lpstr>
      <vt:lpstr>Plan A-1</vt:lpstr>
      <vt:lpstr>Plan B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JKH</cp:lastModifiedBy>
  <cp:revision>0</cp:revision>
  <dcterms:created xsi:type="dcterms:W3CDTF">2026-06-19T01:13:36Z</dcterms:created>
  <dcterms:modified xsi:type="dcterms:W3CDTF">2026-06-19T01:20:36Z</dcterms:modified>
  <dc:language>en-US</dc:language>
</cp:coreProperties>
</file>