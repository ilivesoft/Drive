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Source\Drive\"/>
    </mc:Choice>
  </mc:AlternateContent>
  <bookViews>
    <workbookView xWindow="0" yWindow="0" windowWidth="16386" windowHeight="8190" tabRatio="500"/>
  </bookViews>
  <sheets>
    <sheet name="Plan A" sheetId="1" r:id="rId1"/>
    <sheet name="Plan B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2" l="1"/>
  <c r="F12" i="2" s="1"/>
  <c r="G12" i="2" s="1"/>
  <c r="F13" i="2" s="1"/>
  <c r="G13" i="2" s="1"/>
  <c r="F15" i="2" s="1"/>
  <c r="E9" i="2"/>
  <c r="F10" i="1"/>
  <c r="G10" i="1" s="1"/>
  <c r="F11" i="1" s="1"/>
  <c r="G11" i="1" s="1"/>
  <c r="F13" i="1" s="1"/>
  <c r="E8" i="1"/>
  <c r="F15" i="1" l="1"/>
  <c r="G15" i="1" s="1"/>
  <c r="F14" i="1"/>
  <c r="G14" i="1" s="1"/>
  <c r="G13" i="1"/>
  <c r="F16" i="1" s="1"/>
  <c r="G16" i="1" s="1"/>
  <c r="F17" i="1" s="1"/>
  <c r="G17" i="1" s="1"/>
  <c r="F18" i="1" s="1"/>
  <c r="G18" i="1" s="1"/>
  <c r="F19" i="1" s="1"/>
  <c r="G19" i="1" s="1"/>
  <c r="F17" i="2"/>
  <c r="G17" i="2" s="1"/>
  <c r="F16" i="2"/>
  <c r="G16" i="2" s="1"/>
  <c r="G15" i="2"/>
  <c r="F18" i="2" s="1"/>
  <c r="G18" i="2" s="1"/>
  <c r="F19" i="2" s="1"/>
  <c r="G19" i="2" s="1"/>
  <c r="F20" i="2" s="1"/>
  <c r="G20" i="2" s="1"/>
  <c r="F21" i="2" s="1"/>
  <c r="G21" i="2" s="1"/>
  <c r="D4" i="2" l="1"/>
  <c r="D3" i="2"/>
  <c r="D4" i="1"/>
  <c r="D3" i="1"/>
</calcChain>
</file>

<file path=xl/sharedStrings.xml><?xml version="1.0" encoding="utf-8"?>
<sst xmlns="http://schemas.openxmlformats.org/spreadsheetml/2006/main" count="150" uniqueCount="55">
  <si>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A (</t>
    </r>
    <r>
      <rPr>
        <b/>
        <sz val="14"/>
        <color rgb="FFFFFFFF"/>
        <rFont val="Noto Sans CJK SC"/>
        <family val="2"/>
      </rPr>
      <t>순차 배치</t>
    </r>
    <r>
      <rPr>
        <b/>
        <sz val="14"/>
        <color rgb="FFFFFFFF"/>
        <rFont val="맑은 고딕"/>
        <family val="3"/>
        <charset val="129"/>
      </rPr>
      <t>)</t>
    </r>
  </si>
  <si>
    <t>목표 마감일</t>
  </si>
  <si>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칸의 숫자만 바꾸면 시작일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종료일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아래 차트가 자동으로 갱신됩니다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연속 항목은 이전 항목 종료일</t>
    </r>
    <r>
      <rPr>
        <i/>
        <sz val="8.6"/>
        <color rgb="FF6B675F"/>
        <rFont val="맑은 고딕"/>
        <family val="3"/>
        <charset val="129"/>
      </rPr>
      <t>+1</t>
    </r>
    <r>
      <rPr>
        <i/>
        <sz val="8.6"/>
        <color rgb="FF6B675F"/>
        <rFont val="Noto Sans CJK SC"/>
        <family val="2"/>
      </rPr>
      <t>일부터 시작합니다</t>
    </r>
    <r>
      <rPr>
        <i/>
        <sz val="8.6"/>
        <color rgb="FF6B675F"/>
        <rFont val="맑은 고딕"/>
        <family val="3"/>
        <charset val="129"/>
      </rPr>
      <t>.</t>
    </r>
  </si>
  <si>
    <t>예상 개발 종료일</t>
  </si>
  <si>
    <r>
      <rPr>
        <b/>
        <sz val="9.5"/>
        <color rgb="FF1F1D19"/>
        <rFont val="Noto Sans CJK SC"/>
        <family val="2"/>
      </rPr>
      <t>목표 대비 초과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여유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주</t>
    </r>
    <r>
      <rPr>
        <b/>
        <sz val="9.5"/>
        <color rgb="FF1F1D19"/>
        <rFont val="맑은 고딕"/>
        <family val="3"/>
        <charset val="129"/>
      </rPr>
      <t>)</t>
    </r>
  </si>
  <si>
    <t>No</t>
  </si>
  <si>
    <t>구분</t>
  </si>
  <si>
    <t>세부 그룹</t>
  </si>
  <si>
    <t>항목</t>
  </si>
  <si>
    <r>
      <rPr>
        <b/>
        <sz val="9.5"/>
        <color rgb="FFFFFFFF"/>
        <rFont val="Noto Sans CJK SC"/>
        <family val="2"/>
      </rPr>
      <t>기간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주</t>
    </r>
    <r>
      <rPr>
        <b/>
        <sz val="9.5"/>
        <color rgb="FFFFFFFF"/>
        <rFont val="맑은 고딕"/>
        <family val="3"/>
        <charset val="129"/>
      </rPr>
      <t>)</t>
    </r>
  </si>
  <si>
    <t>시작일</t>
  </si>
  <si>
    <t>종료일</t>
  </si>
  <si>
    <t>담당 인력</t>
  </si>
  <si>
    <t>비고</t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</si>
  <si>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· Cache RAG 1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환경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세팅 포함</t>
    </r>
    <r>
      <rPr>
        <b/>
        <sz val="9.5"/>
        <color rgb="FF1F1D19"/>
        <rFont val="맑은 고딕"/>
        <family val="3"/>
        <charset val="129"/>
      </rPr>
      <t>)</t>
    </r>
  </si>
  <si>
    <t>개발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</si>
  <si>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</si>
  <si>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(100%)·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</si>
  <si>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나머지 개발 항목 그룹 </t>
    </r>
    <r>
      <rPr>
        <b/>
        <sz val="9.5"/>
        <color rgb="FF1F1D19"/>
        <rFont val="맑은 고딕"/>
        <family val="3"/>
        <charset val="129"/>
      </rPr>
      <t>(9</t>
    </r>
    <r>
      <rPr>
        <b/>
        <sz val="9.5"/>
        <color rgb="FF1F1D19"/>
        <rFont val="Noto Sans CJK SC"/>
        <family val="2"/>
      </rPr>
      <t>월 시작</t>
    </r>
    <r>
      <rPr>
        <b/>
        <sz val="9.5"/>
        <color rgb="FF1F1D19"/>
        <rFont val="맑은 고딕"/>
        <family val="3"/>
        <charset val="129"/>
      </rPr>
      <t xml:space="preserve">, </t>
    </r>
    <r>
      <rPr>
        <b/>
        <sz val="9.5"/>
        <color rgb="FF1F1D19"/>
        <rFont val="Noto Sans CJK SC"/>
        <family val="2"/>
      </rPr>
      <t>분석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설계부터</t>
    </r>
    <r>
      <rPr>
        <b/>
        <sz val="9.5"/>
        <color rgb="FF1F1D19"/>
        <rFont val="맑은 고딕"/>
        <family val="3"/>
        <charset val="129"/>
      </rPr>
      <t>)</t>
    </r>
  </si>
  <si>
    <t>나머지 개발 그룹</t>
  </si>
  <si>
    <r>
      <rPr>
        <sz val="9.5"/>
        <color rgb="FF1F1D19"/>
        <rFont val="Noto Sans CJK SC"/>
        <family val="2"/>
      </rPr>
      <t>분석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설계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기술검증</t>
    </r>
  </si>
  <si>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(50%)·</t>
    </r>
    <r>
      <rPr>
        <sz val="9.5"/>
        <color rgb="FF1F1D19"/>
        <rFont val="Noto Sans CJK SC"/>
        <family val="2"/>
      </rPr>
      <t>이주리</t>
    </r>
  </si>
  <si>
    <t>공통 단계</t>
  </si>
  <si>
    <r>
      <rPr>
        <sz val="9.5"/>
        <color rgb="FF1F1D19"/>
        <rFont val="맑은 고딕"/>
        <family val="3"/>
        <charset val="129"/>
      </rPr>
      <t>Cache RAG 2</t>
    </r>
    <r>
      <rPr>
        <sz val="9.5"/>
        <color rgb="FF1F1D19"/>
        <rFont val="Noto Sans CJK SC"/>
        <family val="2"/>
      </rPr>
      <t>단계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</si>
  <si>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</si>
  <si>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r>
      <rPr>
        <i/>
        <sz val="8.6"/>
        <color rgb="FF4F7466"/>
        <rFont val="Noto Sans CJK SC"/>
        <family val="2"/>
      </rPr>
      <t xml:space="preserve">진단 그룹 </t>
    </r>
    <r>
      <rPr>
        <i/>
        <sz val="8.6"/>
        <color rgb="FF4F7466"/>
        <rFont val="맑은 고딕"/>
        <family val="3"/>
        <charset val="129"/>
      </rPr>
      <t>(</t>
    </r>
    <r>
      <rPr>
        <i/>
        <sz val="8.6"/>
        <color rgb="FF4F7466"/>
        <rFont val="Noto Sans CJK SC"/>
        <family val="2"/>
      </rPr>
      <t xml:space="preserve">개발자 </t>
    </r>
    <r>
      <rPr>
        <i/>
        <sz val="8.6"/>
        <color rgb="FF4F7466"/>
        <rFont val="맑은 고딕"/>
        <family val="3"/>
        <charset val="129"/>
      </rPr>
      <t>2</t>
    </r>
    <r>
      <rPr>
        <i/>
        <sz val="8.6"/>
        <color rgb="FF4F7466"/>
        <rFont val="Noto Sans CJK SC"/>
        <family val="2"/>
      </rPr>
      <t>명 동시 진행</t>
    </r>
    <r>
      <rPr>
        <i/>
        <sz val="8.6"/>
        <color rgb="FF4F7466"/>
        <rFont val="맑은 고딕"/>
        <family val="3"/>
        <charset val="129"/>
      </rPr>
      <t>)</t>
    </r>
  </si>
  <si>
    <t>진단 그룹</t>
  </si>
  <si>
    <r>
      <rPr>
        <sz val="9.5"/>
        <color rgb="FF1F1D19"/>
        <rFont val="맑은 고딕"/>
        <family val="3"/>
        <charset val="129"/>
      </rPr>
      <t xml:space="preserve">· </t>
    </r>
    <r>
      <rPr>
        <sz val="9.5"/>
        <color rgb="FF1F1D19"/>
        <rFont val="Noto Sans CJK SC"/>
        <family val="2"/>
      </rPr>
      <t>진단 및 분석</t>
    </r>
  </si>
  <si>
    <r>
      <rPr>
        <sz val="9.5"/>
        <color rgb="FF1F1D19"/>
        <rFont val="Noto Sans CJK SC"/>
        <family val="2"/>
      </rPr>
      <t xml:space="preserve">개발자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</si>
  <si>
    <t>진단그룹 동시진행</t>
  </si>
  <si>
    <r>
      <rPr>
        <sz val="9.5"/>
        <color rgb="FF1F1D19"/>
        <rFont val="맑은 고딕"/>
        <family val="3"/>
        <charset val="129"/>
      </rPr>
      <t xml:space="preserve">· NPS </t>
    </r>
    <r>
      <rPr>
        <sz val="9.5"/>
        <color rgb="FF1F1D19"/>
        <rFont val="Noto Sans CJK SC"/>
        <family val="2"/>
      </rPr>
      <t>분석 기능</t>
    </r>
  </si>
  <si>
    <r>
      <rPr>
        <sz val="9.5"/>
        <color rgb="FF1F1D19"/>
        <rFont val="맑은 고딕"/>
        <family val="3"/>
        <charset val="129"/>
      </rPr>
      <t xml:space="preserve">· AI Friendly </t>
    </r>
    <r>
      <rPr>
        <sz val="9.5"/>
        <color rgb="FF1F1D19"/>
        <rFont val="Noto Sans CJK SC"/>
        <family val="2"/>
      </rPr>
      <t>컨텐츠 검증</t>
    </r>
  </si>
  <si>
    <t>평가 및 튜닝</t>
  </si>
  <si>
    <t>로그 분석기</t>
  </si>
  <si>
    <r>
      <rPr>
        <sz val="9.5"/>
        <color rgb="FF1F1D19"/>
        <rFont val="Noto Sans CJK SC"/>
        <family val="2"/>
      </rPr>
      <t>연동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테스트</t>
    </r>
  </si>
  <si>
    <r>
      <rPr>
        <sz val="9.5"/>
        <color rgb="FF1F1D19"/>
        <rFont val="Noto Sans CJK SC"/>
        <family val="2"/>
      </rPr>
      <t>배포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안정화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</si>
  <si>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종료일 없음</t>
    </r>
    <r>
      <rPr>
        <b/>
        <sz val="9.5"/>
        <color rgb="FF1F1D19"/>
        <rFont val="맑은 고딕"/>
        <family val="3"/>
        <charset val="129"/>
      </rPr>
      <t>)</t>
    </r>
  </si>
  <si>
    <t>운영</t>
  </si>
  <si>
    <t>운영 대응</t>
  </si>
  <si>
    <r>
      <rPr>
        <sz val="9.5"/>
        <color rgb="FF1F1D19"/>
        <rFont val="맑은 고딕"/>
        <family val="3"/>
        <charset val="129"/>
      </rPr>
      <t xml:space="preserve">VOC </t>
    </r>
    <r>
      <rPr>
        <sz val="9.5"/>
        <color rgb="FF1F1D19"/>
        <rFont val="Noto Sans CJK SC"/>
        <family val="2"/>
      </rPr>
      <t>업무 대응</t>
    </r>
  </si>
  <si>
    <r>
      <rPr>
        <sz val="9.5"/>
        <color rgb="FF1F1D19"/>
        <rFont val="Noto Sans CJK SC"/>
        <family val="2"/>
      </rPr>
      <t>강현석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박상후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(50%)</t>
    </r>
  </si>
  <si>
    <r>
      <rPr>
        <sz val="9.5"/>
        <color rgb="FF1F1D19"/>
        <rFont val="Noto Sans CJK SC"/>
        <family val="2"/>
      </rPr>
      <t>종료일 없음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지속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</si>
  <si>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개선 대응</t>
    </r>
  </si>
  <si>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B (</t>
    </r>
    <r>
      <rPr>
        <b/>
        <sz val="14"/>
        <color rgb="FFFFFFFF"/>
        <rFont val="Noto Sans CJK SC"/>
        <family val="2"/>
      </rPr>
      <t>동시 배치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</si>
  <si>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8.6"/>
        <color rgb="FF6B5B95"/>
        <rFont val="Noto Sans CJK SC"/>
        <family val="2"/>
      </rPr>
      <t xml:space="preserve">신규 인력 재직기간 </t>
    </r>
    <r>
      <rPr>
        <i/>
        <sz val="8.6"/>
        <color rgb="FF6B5B95"/>
        <rFont val="맑은 고딕"/>
        <family val="3"/>
        <charset val="129"/>
      </rPr>
      <t>(8/1 ~ 12/31)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</si>
  <si>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· Cache RAG 1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기존 인력</t>
    </r>
    <r>
      <rPr>
        <b/>
        <sz val="9.5"/>
        <color rgb="FF1F1D19"/>
        <rFont val="맑은 고딕"/>
        <family val="3"/>
        <charset val="129"/>
      </rPr>
      <t>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</si>
  <si>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나머지 개발 항목 그룹 </t>
    </r>
    <r>
      <rPr>
        <b/>
        <sz val="9.5"/>
        <color rgb="FF1F1D19"/>
        <rFont val="맑은 고딕"/>
        <family val="3"/>
        <charset val="129"/>
      </rPr>
      <t>(8</t>
    </r>
    <r>
      <rPr>
        <b/>
        <sz val="9.5"/>
        <color rgb="FF1F1D19"/>
        <rFont val="Noto Sans CJK SC"/>
        <family val="2"/>
      </rPr>
      <t xml:space="preserve">월 시작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신규인력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>명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</si>
  <si>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환경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세팅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</si>
  <si>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</si>
  <si>
    <r>
      <rPr>
        <i/>
        <sz val="8.6"/>
        <color rgb="FF4F7466"/>
        <rFont val="Noto Sans CJK SC"/>
        <family val="2"/>
      </rPr>
      <t xml:space="preserve">진단 그룹 </t>
    </r>
    <r>
      <rPr>
        <i/>
        <sz val="8.6"/>
        <color rgb="FF4F7466"/>
        <rFont val="맑은 고딕"/>
        <family val="3"/>
        <charset val="129"/>
      </rPr>
      <t>(</t>
    </r>
    <r>
      <rPr>
        <i/>
        <sz val="8.6"/>
        <color rgb="FF4F7466"/>
        <rFont val="Noto Sans CJK SC"/>
        <family val="2"/>
      </rPr>
      <t xml:space="preserve">개발자 </t>
    </r>
    <r>
      <rPr>
        <i/>
        <sz val="8.6"/>
        <color rgb="FF4F7466"/>
        <rFont val="맑은 고딕"/>
        <family val="3"/>
        <charset val="129"/>
      </rPr>
      <t>2</t>
    </r>
    <r>
      <rPr>
        <i/>
        <sz val="8.6"/>
        <color rgb="FF4F7466"/>
        <rFont val="Noto Sans CJK SC"/>
        <family val="2"/>
      </rPr>
      <t xml:space="preserve">명 동시 진행 </t>
    </r>
    <r>
      <rPr>
        <i/>
        <sz val="8.6"/>
        <color rgb="FF4F7466"/>
        <rFont val="맑은 고딕"/>
        <family val="3"/>
        <charset val="129"/>
      </rPr>
      <t xml:space="preserve">· </t>
    </r>
    <r>
      <rPr>
        <i/>
        <sz val="8.6"/>
        <color rgb="FF4F7466"/>
        <rFont val="Noto Sans CJK SC"/>
        <family val="2"/>
      </rPr>
      <t>신규→기존 인계</t>
    </r>
    <r>
      <rPr>
        <i/>
        <sz val="8.6"/>
        <color rgb="FF4F7466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</si>
  <si>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 xml:space="preserve">12/31 </t>
    </r>
    <r>
      <rPr>
        <sz val="9.5"/>
        <color rgb="FF1F1D19"/>
        <rFont val="Noto Sans CJK SC"/>
        <family val="2"/>
      </rPr>
      <t>퇴사 시점과 겹침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</si>
  <si>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기존인력 인수</t>
    </r>
    <r>
      <rPr>
        <sz val="9.5"/>
        <color rgb="FF1F1D19"/>
        <rFont val="맑은 고딕"/>
        <family val="3"/>
        <charset val="129"/>
      </rPr>
      <t>)</t>
    </r>
  </si>
  <si>
    <t>신규인력 퇴사 이후</t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</si>
  <si>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</si>
  <si>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종료일 없음</t>
    </r>
    <r>
      <rPr>
        <b/>
        <sz val="9.5"/>
        <color rgb="FF1F1D19"/>
        <rFont val="맑은 고딕"/>
        <family val="3"/>
        <charset val="129"/>
      </rPr>
      <t xml:space="preserve">, </t>
    </r>
    <r>
      <rPr>
        <b/>
        <sz val="9.5"/>
        <color rgb="FF1F1D19"/>
        <rFont val="Noto Sans CJK SC"/>
        <family val="2"/>
      </rPr>
      <t>기존 인력</t>
    </r>
    <r>
      <rPr>
        <b/>
        <sz val="9.5"/>
        <color rgb="FF1F1D1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</si>
</sst>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"/>
    <numFmt numFmtId="177" formatCode="\+0.0&quot;주&quot;;\-0.0&quot;주&quot;;0&quot;주&quot;"/>
    <numFmt numFmtId="178" formatCode="m/d"/>
    <numFmt numFmtId="179" formatCode="0.0&quot;주&quot;"/>
    <numFmt numFmtId="180" formatCode="0&quot;주&quot;"/>
  </numFmts>
  <fonts count="17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9.5"/>
      <color rgb="FF1F1D19"/>
      <name val="Noto Sans CJK SC"/>
      <family val="2"/>
    </font>
    <font>
      <sz val="9.5"/>
      <color rgb="FF1F1D19"/>
      <name val="맑은 고딕"/>
      <family val="3"/>
      <charset val="129"/>
    </font>
    <font>
      <i/>
      <sz val="8.6"/>
      <color rgb="FF6B675F"/>
      <name val="Noto Sans CJK SC"/>
      <family val="2"/>
    </font>
    <font>
      <i/>
      <sz val="8.6"/>
      <color rgb="FF6B675F"/>
      <name val="맑은 고딕"/>
      <family val="3"/>
      <charset val="129"/>
    </font>
    <font>
      <b/>
      <sz val="9.5"/>
      <color rgb="FF1F1D19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b/>
      <sz val="9.5"/>
      <color rgb="FFFFFFFF"/>
      <name val="Noto Sans CJK SC"/>
      <family val="2"/>
    </font>
    <font>
      <b/>
      <sz val="7.6"/>
      <color rgb="FFFFFFFF"/>
      <name val="맑은 고딕"/>
      <family val="3"/>
      <charset val="129"/>
    </font>
    <font>
      <sz val="9.5"/>
      <color rgb="FF1F1D19"/>
      <name val="Noto Sans CJK SC"/>
      <family val="2"/>
    </font>
    <font>
      <i/>
      <sz val="8.6"/>
      <color rgb="FF4F7466"/>
      <name val="Noto Sans CJK SC"/>
      <family val="2"/>
    </font>
    <font>
      <i/>
      <sz val="8.6"/>
      <color rgb="FF4F7466"/>
      <name val="맑은 고딕"/>
      <family val="3"/>
      <charset val="129"/>
    </font>
    <font>
      <i/>
      <sz val="8.6"/>
      <color rgb="FF6B5B95"/>
      <name val="Noto Sans CJK SC"/>
      <family val="2"/>
    </font>
    <font>
      <i/>
      <sz val="8.6"/>
      <color rgb="FF6B5B95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1D19"/>
        <bgColor rgb="FF2B2B2B"/>
      </patternFill>
    </fill>
    <fill>
      <patternFill patternType="solid">
        <fgColor rgb="FFF3F1EC"/>
        <bgColor rgb="FFEEF4F1"/>
      </patternFill>
    </fill>
    <fill>
      <patternFill patternType="solid">
        <fgColor rgb="FFFBF9F4"/>
        <bgColor rgb="FFF7F5FB"/>
      </patternFill>
    </fill>
    <fill>
      <patternFill patternType="solid">
        <fgColor rgb="FF2B2B2B"/>
        <bgColor rgb="FF1F1D19"/>
      </patternFill>
    </fill>
    <fill>
      <patternFill patternType="solid">
        <fgColor rgb="FFC0392B"/>
        <bgColor rgb="FF993366"/>
      </patternFill>
    </fill>
    <fill>
      <patternFill patternType="solid">
        <fgColor rgb="FF9B6B1F"/>
        <bgColor rgb="FFB8763B"/>
      </patternFill>
    </fill>
    <fill>
      <patternFill patternType="solid">
        <fgColor rgb="FFFFF6E0"/>
        <bgColor rgb="FFFBF9F4"/>
      </patternFill>
    </fill>
    <fill>
      <patternFill patternType="solid">
        <fgColor rgb="FFEEF4F1"/>
        <bgColor rgb="FFF3F1EC"/>
      </patternFill>
    </fill>
    <fill>
      <patternFill patternType="solid">
        <fgColor rgb="FFF7F5FB"/>
        <bgColor rgb="FFFBF9F4"/>
      </patternFill>
    </fill>
    <fill>
      <patternFill patternType="solid">
        <fgColor rgb="FFE7E2F1"/>
        <bgColor rgb="FFF3F1EC"/>
      </patternFill>
    </fill>
  </fills>
  <borders count="4">
    <border>
      <left/>
      <right/>
      <top/>
      <bottom/>
      <diagonal/>
    </border>
    <border>
      <left style="thin">
        <color rgb="FFD9D5C9"/>
      </left>
      <right/>
      <top style="thin">
        <color rgb="FFD9D5C9"/>
      </top>
      <bottom style="thin">
        <color rgb="FFD9D5C9"/>
      </bottom>
      <diagonal/>
    </border>
    <border>
      <left style="thin">
        <color rgb="FFD9D5C9"/>
      </left>
      <right/>
      <top style="thin">
        <color rgb="FFD9D5C9"/>
      </top>
      <bottom/>
      <diagonal/>
    </border>
    <border>
      <left style="thin">
        <color rgb="FFD9D5C9"/>
      </left>
      <right style="thin">
        <color rgb="FFD9D5C9"/>
      </right>
      <top style="thin">
        <color rgb="FFD9D5C9"/>
      </top>
      <bottom style="thin">
        <color rgb="FFD9D5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10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0" fillId="7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79" fontId="4" fillId="0" borderId="3" xfId="0" applyNumberFormat="1" applyFont="1" applyBorder="1" applyAlignment="1">
      <alignment horizontal="center" vertical="center" wrapText="1"/>
    </xf>
    <xf numFmtId="176" fontId="4" fillId="8" borderId="3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180" fontId="4" fillId="8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</cellXfs>
  <cellStyles count="1">
    <cellStyle name="표준" xfId="0" builtinId="0"/>
  </cellStyles>
  <dxfs count="25"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6B5B95"/>
        </patternFill>
      </fill>
    </dxf>
    <dxf>
      <fill>
        <patternFill>
          <bgColor rgb="FF6B5B95"/>
        </patternFill>
      </fill>
    </dxf>
    <dxf>
      <fill>
        <patternFill>
          <bgColor rgb="FF6B5B95"/>
        </patternFill>
      </fill>
    </dxf>
    <dxf>
      <fill>
        <patternFill>
          <bgColor rgb="FF6B5B95"/>
        </patternFill>
      </fill>
    </dxf>
    <dxf>
      <fill>
        <patternFill>
          <bgColor rgb="FF6B5B95"/>
        </patternFill>
      </fill>
    </dxf>
    <dxf>
      <fill>
        <patternFill>
          <bgColor rgb="FF6B5B95"/>
        </patternFill>
      </fill>
    </dxf>
    <dxf>
      <fill>
        <patternFill>
          <bgColor rgb="FF3D6B8C"/>
        </patternFill>
      </fill>
    </dxf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3D6B8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6B1F"/>
      <rgbColor rgb="FF800080"/>
      <rgbColor rgb="FF3D6B8C"/>
      <rgbColor rgb="FFC0C0C0"/>
      <rgbColor rgb="FF6B675F"/>
      <rgbColor rgb="FF9999FF"/>
      <rgbColor rgb="FF993366"/>
      <rgbColor rgb="FFFFF6E0"/>
      <rgbColor rgb="FFEEF4F1"/>
      <rgbColor rgb="FF660066"/>
      <rgbColor rgb="FFFF8080"/>
      <rgbColor rgb="FF0066CC"/>
      <rgbColor rgb="FFD9D5C9"/>
      <rgbColor rgb="FF000080"/>
      <rgbColor rgb="FFFF00FF"/>
      <rgbColor rgb="FFFFFF00"/>
      <rgbColor rgb="FF00FFFF"/>
      <rgbColor rgb="FF800080"/>
      <rgbColor rgb="FF800000"/>
      <rgbColor rgb="FF4F7466"/>
      <rgbColor rgb="FF0000FF"/>
      <rgbColor rgb="FF00CCFF"/>
      <rgbColor rgb="FFF3F1EC"/>
      <rgbColor rgb="FFF7F5FB"/>
      <rgbColor rgb="FFFBF9F4"/>
      <rgbColor rgb="FF99CCFF"/>
      <rgbColor rgb="FFFF99CC"/>
      <rgbColor rgb="FFCC99FF"/>
      <rgbColor rgb="FFE7E2F1"/>
      <rgbColor rgb="FF3366FF"/>
      <rgbColor rgb="FF33CCCC"/>
      <rgbColor rgb="FF99CC00"/>
      <rgbColor rgb="FFFFCC00"/>
      <rgbColor rgb="FFFF9900"/>
      <rgbColor rgb="FFFF6600"/>
      <rgbColor rgb="FF6B5B95"/>
      <rgbColor rgb="FFB8763B"/>
      <rgbColor rgb="FF003366"/>
      <rgbColor rgb="FF4F8F7C"/>
      <rgbColor rgb="FF003300"/>
      <rgbColor rgb="FF1F1D19"/>
      <rgbColor rgb="FFC0392B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2"/>
  <sheetViews>
    <sheetView showGridLines="0" tabSelected="1" zoomScaleNormal="100" workbookViewId="0">
      <pane ySplit="6" topLeftCell="A7" activePane="bottomLeft" state="frozen"/>
      <selection pane="bottomLeft" sqref="A1:I1"/>
    </sheetView>
  </sheetViews>
  <sheetFormatPr defaultColWidth="8.68359375" defaultRowHeight="14.4"/>
  <cols>
    <col min="1" max="1" width="4" customWidth="1"/>
    <col min="2" max="2" width="9" customWidth="1"/>
    <col min="3" max="3" width="16" customWidth="1"/>
    <col min="4" max="4" width="22" customWidth="1"/>
    <col min="5" max="5" width="8" customWidth="1"/>
    <col min="6" max="7" width="11" customWidth="1"/>
    <col min="8" max="8" width="20" customWidth="1"/>
    <col min="9" max="9" width="24" customWidth="1"/>
    <col min="10" max="10" width="2" customWidth="1"/>
    <col min="11" max="68" width="5.41796875" customWidth="1"/>
  </cols>
  <sheetData>
    <row r="1" spans="1:68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68" ht="16.5" customHeight="1">
      <c r="A2" s="6" t="s">
        <v>1</v>
      </c>
      <c r="B2" s="6"/>
      <c r="C2" s="6"/>
      <c r="D2" s="5">
        <v>46461</v>
      </c>
      <c r="E2" s="5"/>
      <c r="F2" s="4" t="s">
        <v>2</v>
      </c>
      <c r="G2" s="4"/>
      <c r="H2" s="4"/>
      <c r="I2" s="4"/>
    </row>
    <row r="3" spans="1:68" ht="16.5" customHeight="1">
      <c r="A3" s="6" t="s">
        <v>3</v>
      </c>
      <c r="B3" s="6"/>
      <c r="C3" s="6"/>
      <c r="D3" s="5">
        <f>G19</f>
        <v>46545</v>
      </c>
      <c r="E3" s="5"/>
      <c r="F3" s="4"/>
      <c r="G3" s="4"/>
      <c r="H3" s="4"/>
      <c r="I3" s="4"/>
    </row>
    <row r="4" spans="1:68" ht="16.5" customHeight="1">
      <c r="A4" s="6" t="s">
        <v>4</v>
      </c>
      <c r="B4" s="6"/>
      <c r="C4" s="6"/>
      <c r="D4" s="3">
        <f>(G19-D2)/7</f>
        <v>12</v>
      </c>
      <c r="E4" s="3"/>
      <c r="F4" s="4"/>
      <c r="G4" s="4"/>
      <c r="H4" s="4"/>
      <c r="I4" s="4"/>
    </row>
    <row r="5" spans="1:68" ht="6" customHeight="1"/>
    <row r="6" spans="1:68" ht="19.5" customHeight="1">
      <c r="A6" s="8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K6" s="10">
        <v>46174</v>
      </c>
      <c r="L6" s="10">
        <v>46181</v>
      </c>
      <c r="M6" s="11">
        <v>46188</v>
      </c>
      <c r="N6" s="10">
        <v>46195</v>
      </c>
      <c r="O6" s="10">
        <v>46202</v>
      </c>
      <c r="P6" s="10">
        <v>46209</v>
      </c>
      <c r="Q6" s="10">
        <v>46216</v>
      </c>
      <c r="R6" s="10">
        <v>46223</v>
      </c>
      <c r="S6" s="10">
        <v>46230</v>
      </c>
      <c r="T6" s="10">
        <v>46237</v>
      </c>
      <c r="U6" s="10">
        <v>46244</v>
      </c>
      <c r="V6" s="10">
        <v>46251</v>
      </c>
      <c r="W6" s="10">
        <v>46258</v>
      </c>
      <c r="X6" s="10">
        <v>46265</v>
      </c>
      <c r="Y6" s="10">
        <v>46272</v>
      </c>
      <c r="Z6" s="10">
        <v>46279</v>
      </c>
      <c r="AA6" s="10">
        <v>46286</v>
      </c>
      <c r="AB6" s="10">
        <v>46293</v>
      </c>
      <c r="AC6" s="10">
        <v>46300</v>
      </c>
      <c r="AD6" s="10">
        <v>46307</v>
      </c>
      <c r="AE6" s="10">
        <v>46314</v>
      </c>
      <c r="AF6" s="10">
        <v>46321</v>
      </c>
      <c r="AG6" s="10">
        <v>46328</v>
      </c>
      <c r="AH6" s="10">
        <v>46335</v>
      </c>
      <c r="AI6" s="10">
        <v>46342</v>
      </c>
      <c r="AJ6" s="10">
        <v>46349</v>
      </c>
      <c r="AK6" s="10">
        <v>46356</v>
      </c>
      <c r="AL6" s="10">
        <v>46363</v>
      </c>
      <c r="AM6" s="10">
        <v>46370</v>
      </c>
      <c r="AN6" s="10">
        <v>46377</v>
      </c>
      <c r="AO6" s="10">
        <v>46384</v>
      </c>
      <c r="AP6" s="10">
        <v>46391</v>
      </c>
      <c r="AQ6" s="10">
        <v>46398</v>
      </c>
      <c r="AR6" s="10">
        <v>46405</v>
      </c>
      <c r="AS6" s="10">
        <v>46412</v>
      </c>
      <c r="AT6" s="10">
        <v>46419</v>
      </c>
      <c r="AU6" s="10">
        <v>46426</v>
      </c>
      <c r="AV6" s="10">
        <v>46433</v>
      </c>
      <c r="AW6" s="10">
        <v>46440</v>
      </c>
      <c r="AX6" s="10">
        <v>46447</v>
      </c>
      <c r="AY6" s="10">
        <v>46454</v>
      </c>
      <c r="AZ6" s="12">
        <v>46461</v>
      </c>
      <c r="BA6" s="10">
        <v>46468</v>
      </c>
      <c r="BB6" s="10">
        <v>46475</v>
      </c>
      <c r="BC6" s="10">
        <v>46482</v>
      </c>
      <c r="BD6" s="10">
        <v>46489</v>
      </c>
      <c r="BE6" s="10">
        <v>46496</v>
      </c>
      <c r="BF6" s="10">
        <v>46503</v>
      </c>
      <c r="BG6" s="10">
        <v>46510</v>
      </c>
      <c r="BH6" s="10">
        <v>46517</v>
      </c>
      <c r="BI6" s="10">
        <v>46524</v>
      </c>
      <c r="BJ6" s="10">
        <v>46531</v>
      </c>
      <c r="BK6" s="10">
        <v>46538</v>
      </c>
      <c r="BL6" s="10">
        <v>46545</v>
      </c>
      <c r="BM6" s="10">
        <v>46552</v>
      </c>
      <c r="BN6" s="10">
        <v>46559</v>
      </c>
      <c r="BO6" s="10">
        <v>46566</v>
      </c>
      <c r="BP6" s="10">
        <v>46573</v>
      </c>
    </row>
    <row r="7" spans="1:68" ht="16.5" customHeight="1">
      <c r="A7" s="6" t="s">
        <v>14</v>
      </c>
      <c r="B7" s="6"/>
      <c r="C7" s="6"/>
      <c r="D7" s="6"/>
      <c r="E7" s="6"/>
      <c r="F7" s="6"/>
      <c r="G7" s="6"/>
      <c r="H7" s="6"/>
      <c r="I7" s="6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</row>
    <row r="8" spans="1:68" ht="25.5" customHeight="1">
      <c r="A8" s="14">
        <v>1</v>
      </c>
      <c r="B8" s="15" t="s">
        <v>15</v>
      </c>
      <c r="C8" s="16" t="s">
        <v>16</v>
      </c>
      <c r="D8" s="16" t="s">
        <v>16</v>
      </c>
      <c r="E8" s="17">
        <f>(G8-F8+1)/7</f>
        <v>13.142857142857142</v>
      </c>
      <c r="F8" s="18">
        <v>46174</v>
      </c>
      <c r="G8" s="18">
        <v>46265</v>
      </c>
      <c r="H8" s="19" t="s">
        <v>17</v>
      </c>
      <c r="I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</row>
    <row r="9" spans="1:68" ht="16.5" customHeight="1">
      <c r="A9" s="6" t="s">
        <v>18</v>
      </c>
      <c r="B9" s="6"/>
      <c r="C9" s="6"/>
      <c r="D9" s="6"/>
      <c r="E9" s="6"/>
      <c r="F9" s="6"/>
      <c r="G9" s="6"/>
      <c r="H9" s="6"/>
      <c r="I9" s="6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</row>
    <row r="10" spans="1:68" ht="25.5" customHeight="1">
      <c r="A10" s="14">
        <v>2</v>
      </c>
      <c r="B10" s="15" t="s">
        <v>15</v>
      </c>
      <c r="C10" s="19" t="s">
        <v>19</v>
      </c>
      <c r="D10" s="19" t="s">
        <v>20</v>
      </c>
      <c r="E10" s="20">
        <v>8</v>
      </c>
      <c r="F10" s="21">
        <f>G8+1</f>
        <v>46266</v>
      </c>
      <c r="G10" s="21">
        <f>F10+E10*7-1</f>
        <v>46321</v>
      </c>
      <c r="H10" s="19" t="s">
        <v>21</v>
      </c>
      <c r="I10" s="19" t="s">
        <v>22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</row>
    <row r="11" spans="1:68" ht="25.5" customHeight="1">
      <c r="A11" s="14">
        <v>3</v>
      </c>
      <c r="B11" s="15" t="s">
        <v>15</v>
      </c>
      <c r="C11" s="19" t="s">
        <v>19</v>
      </c>
      <c r="D11" s="16" t="s">
        <v>23</v>
      </c>
      <c r="E11" s="20">
        <v>4</v>
      </c>
      <c r="F11" s="21">
        <f>G10+1</f>
        <v>46322</v>
      </c>
      <c r="G11" s="21">
        <f>F11+E11*7-1</f>
        <v>46349</v>
      </c>
      <c r="H11" s="19" t="s">
        <v>24</v>
      </c>
      <c r="I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</row>
    <row r="12" spans="1:68" ht="12.75" customHeight="1">
      <c r="A12" s="2" t="s">
        <v>25</v>
      </c>
      <c r="B12" s="2"/>
      <c r="C12" s="2"/>
      <c r="D12" s="2"/>
      <c r="E12" s="2"/>
      <c r="F12" s="2"/>
      <c r="G12" s="2"/>
      <c r="H12" s="2"/>
      <c r="I12" s="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</row>
    <row r="13" spans="1:68" ht="25.5" customHeight="1">
      <c r="A13" s="14">
        <v>4</v>
      </c>
      <c r="B13" s="15" t="s">
        <v>15</v>
      </c>
      <c r="C13" s="19" t="s">
        <v>26</v>
      </c>
      <c r="D13" s="16" t="s">
        <v>27</v>
      </c>
      <c r="E13" s="20">
        <v>8</v>
      </c>
      <c r="F13" s="21">
        <f>G11+1</f>
        <v>46350</v>
      </c>
      <c r="G13" s="21">
        <f t="shared" ref="G13:G19" si="0">F13+E13*7-1</f>
        <v>46405</v>
      </c>
      <c r="H13" s="19" t="s">
        <v>28</v>
      </c>
      <c r="I13" s="19" t="s">
        <v>29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</row>
    <row r="14" spans="1:68" ht="25.5" customHeight="1">
      <c r="A14" s="14">
        <v>5</v>
      </c>
      <c r="B14" s="15" t="s">
        <v>15</v>
      </c>
      <c r="C14" s="19" t="s">
        <v>26</v>
      </c>
      <c r="D14" s="16" t="s">
        <v>30</v>
      </c>
      <c r="E14" s="20">
        <v>8</v>
      </c>
      <c r="F14" s="21">
        <f>F13</f>
        <v>46350</v>
      </c>
      <c r="G14" s="21">
        <f t="shared" si="0"/>
        <v>46405</v>
      </c>
      <c r="H14" s="19" t="s">
        <v>28</v>
      </c>
      <c r="I14" s="19" t="s">
        <v>29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</row>
    <row r="15" spans="1:68" ht="25.5" customHeight="1">
      <c r="A15" s="14">
        <v>6</v>
      </c>
      <c r="B15" s="15" t="s">
        <v>15</v>
      </c>
      <c r="C15" s="19" t="s">
        <v>26</v>
      </c>
      <c r="D15" s="16" t="s">
        <v>31</v>
      </c>
      <c r="E15" s="20">
        <v>8</v>
      </c>
      <c r="F15" s="21">
        <f>F13</f>
        <v>46350</v>
      </c>
      <c r="G15" s="21">
        <f t="shared" si="0"/>
        <v>46405</v>
      </c>
      <c r="H15" s="19" t="s">
        <v>28</v>
      </c>
      <c r="I15" s="19" t="s">
        <v>29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</row>
    <row r="16" spans="1:68" ht="25.5" customHeight="1">
      <c r="A16" s="14">
        <v>7</v>
      </c>
      <c r="B16" s="15" t="s">
        <v>15</v>
      </c>
      <c r="C16" s="19" t="s">
        <v>19</v>
      </c>
      <c r="D16" s="19" t="s">
        <v>32</v>
      </c>
      <c r="E16" s="20">
        <v>12</v>
      </c>
      <c r="F16" s="21">
        <f>G13+1</f>
        <v>46406</v>
      </c>
      <c r="G16" s="21">
        <f t="shared" si="0"/>
        <v>46489</v>
      </c>
      <c r="H16" s="19" t="s">
        <v>28</v>
      </c>
      <c r="I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</row>
    <row r="17" spans="1:68" ht="25.5" customHeight="1">
      <c r="A17" s="14">
        <v>8</v>
      </c>
      <c r="B17" s="15" t="s">
        <v>15</v>
      </c>
      <c r="C17" s="19" t="s">
        <v>19</v>
      </c>
      <c r="D17" s="19" t="s">
        <v>33</v>
      </c>
      <c r="E17" s="20">
        <v>4</v>
      </c>
      <c r="F17" s="21">
        <f>G16+1</f>
        <v>46490</v>
      </c>
      <c r="G17" s="21">
        <f t="shared" si="0"/>
        <v>46517</v>
      </c>
      <c r="H17" s="16"/>
      <c r="I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</row>
    <row r="18" spans="1:68" ht="25.5" customHeight="1">
      <c r="A18" s="14">
        <v>9</v>
      </c>
      <c r="B18" s="15" t="s">
        <v>15</v>
      </c>
      <c r="C18" s="19" t="s">
        <v>19</v>
      </c>
      <c r="D18" s="19" t="s">
        <v>34</v>
      </c>
      <c r="E18" s="20">
        <v>2</v>
      </c>
      <c r="F18" s="21">
        <f>G17+1</f>
        <v>46518</v>
      </c>
      <c r="G18" s="21">
        <f t="shared" si="0"/>
        <v>46531</v>
      </c>
      <c r="H18" s="16"/>
      <c r="I18" s="19" t="s">
        <v>22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</row>
    <row r="19" spans="1:68" ht="25.5" customHeight="1">
      <c r="A19" s="14">
        <v>10</v>
      </c>
      <c r="B19" s="15" t="s">
        <v>15</v>
      </c>
      <c r="C19" s="19" t="s">
        <v>19</v>
      </c>
      <c r="D19" s="19" t="s">
        <v>35</v>
      </c>
      <c r="E19" s="20">
        <v>2</v>
      </c>
      <c r="F19" s="21">
        <f>G18+1</f>
        <v>46532</v>
      </c>
      <c r="G19" s="21">
        <f t="shared" si="0"/>
        <v>46545</v>
      </c>
      <c r="H19" s="16"/>
      <c r="I19" s="19" t="s">
        <v>22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</row>
    <row r="20" spans="1:68" ht="16.5" customHeight="1">
      <c r="A20" s="6" t="s">
        <v>36</v>
      </c>
      <c r="B20" s="6"/>
      <c r="C20" s="6"/>
      <c r="D20" s="6"/>
      <c r="E20" s="6"/>
      <c r="F20" s="6"/>
      <c r="G20" s="6"/>
      <c r="H20" s="6"/>
      <c r="I20" s="6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</row>
    <row r="21" spans="1:68" ht="25.5" customHeight="1">
      <c r="A21" s="14">
        <v>11</v>
      </c>
      <c r="B21" s="15" t="s">
        <v>37</v>
      </c>
      <c r="C21" s="19" t="s">
        <v>38</v>
      </c>
      <c r="D21" s="16" t="s">
        <v>39</v>
      </c>
      <c r="E21" s="20"/>
      <c r="F21" s="18">
        <v>46174</v>
      </c>
      <c r="G21" s="18">
        <v>46579</v>
      </c>
      <c r="H21" s="19" t="s">
        <v>40</v>
      </c>
      <c r="I21" s="19" t="s">
        <v>41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</row>
    <row r="22" spans="1:68" ht="25.5" customHeight="1">
      <c r="A22" s="14">
        <v>12</v>
      </c>
      <c r="B22" s="15" t="s">
        <v>37</v>
      </c>
      <c r="C22" s="19" t="s">
        <v>38</v>
      </c>
      <c r="D22" s="16" t="s">
        <v>42</v>
      </c>
      <c r="E22" s="20"/>
      <c r="F22" s="18">
        <v>46174</v>
      </c>
      <c r="G22" s="18">
        <v>46579</v>
      </c>
      <c r="H22" s="19" t="s">
        <v>40</v>
      </c>
      <c r="I22" s="19" t="s">
        <v>41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</row>
  </sheetData>
  <mergeCells count="12">
    <mergeCell ref="A7:I7"/>
    <mergeCell ref="A9:I9"/>
    <mergeCell ref="A12:I12"/>
    <mergeCell ref="A20:I20"/>
    <mergeCell ref="A1:I1"/>
    <mergeCell ref="A2:C2"/>
    <mergeCell ref="D2:E2"/>
    <mergeCell ref="F2:I4"/>
    <mergeCell ref="A3:C3"/>
    <mergeCell ref="D3:E3"/>
    <mergeCell ref="A4:C4"/>
    <mergeCell ref="D4:E4"/>
  </mergeCells>
  <phoneticPr fontId="16" type="noConversion"/>
  <conditionalFormatting sqref="K8:BP8">
    <cfRule type="expression" dxfId="24" priority="2">
      <formula>AND(K$6&lt;=$G8,(K$6+6)&gt;=$F8)</formula>
    </cfRule>
  </conditionalFormatting>
  <conditionalFormatting sqref="K10:BP10">
    <cfRule type="expression" dxfId="23" priority="3">
      <formula>AND(K$6&lt;=$G10,(K$6+6)&gt;=$F10)</formula>
    </cfRule>
  </conditionalFormatting>
  <conditionalFormatting sqref="K11:BP11">
    <cfRule type="expression" dxfId="22" priority="4">
      <formula>AND(K$6&lt;=$G11,(K$6+6)&gt;=$F11)</formula>
    </cfRule>
  </conditionalFormatting>
  <conditionalFormatting sqref="K13:BP13">
    <cfRule type="expression" dxfId="21" priority="5">
      <formula>AND(K$6&lt;=$G13,(K$6+6)&gt;=$F13)</formula>
    </cfRule>
  </conditionalFormatting>
  <conditionalFormatting sqref="K14:BP14">
    <cfRule type="expression" dxfId="20" priority="6">
      <formula>AND(K$6&lt;=$G14,(K$6+6)&gt;=$F14)</formula>
    </cfRule>
  </conditionalFormatting>
  <conditionalFormatting sqref="K15:BP15">
    <cfRule type="expression" dxfId="19" priority="7">
      <formula>AND(K$6&lt;=$G15,(K$6+6)&gt;=$F15)</formula>
    </cfRule>
  </conditionalFormatting>
  <conditionalFormatting sqref="K16:BP16">
    <cfRule type="expression" dxfId="18" priority="8">
      <formula>AND(K$6&lt;=$G16,(K$6+6)&gt;=$F16)</formula>
    </cfRule>
  </conditionalFormatting>
  <conditionalFormatting sqref="K17:BP17">
    <cfRule type="expression" dxfId="17" priority="9">
      <formula>AND(K$6&lt;=$G17,(K$6+6)&gt;=$F17)</formula>
    </cfRule>
  </conditionalFormatting>
  <conditionalFormatting sqref="K18:BP18">
    <cfRule type="expression" dxfId="16" priority="10">
      <formula>AND(K$6&lt;=$G18,(K$6+6)&gt;=$F18)</formula>
    </cfRule>
  </conditionalFormatting>
  <conditionalFormatting sqref="K19:BP19">
    <cfRule type="expression" dxfId="15" priority="11">
      <formula>AND(K$6&lt;=$G19,(K$6+6)&gt;=$F19)</formula>
    </cfRule>
  </conditionalFormatting>
  <conditionalFormatting sqref="K21:BP21">
    <cfRule type="expression" dxfId="14" priority="12">
      <formula>AND(K$6&lt;=$G21,(K$6+6)&gt;=$F21)</formula>
    </cfRule>
  </conditionalFormatting>
  <conditionalFormatting sqref="K22:BP22">
    <cfRule type="expression" dxfId="13" priority="13">
      <formula>AND(K$6&lt;=$G22,(K$6+6)&gt;=$F22)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4"/>
  <sheetViews>
    <sheetView showGridLines="0" zoomScaleNormal="100" workbookViewId="0">
      <pane xSplit="10" ySplit="7" topLeftCell="K8" activePane="bottomRight" state="frozen"/>
      <selection pane="topRight" activeCell="K1" sqref="K1"/>
      <selection pane="bottomLeft" activeCell="A8" sqref="A8"/>
      <selection pane="bottomRight"/>
    </sheetView>
  </sheetViews>
  <sheetFormatPr defaultColWidth="8.68359375" defaultRowHeight="14.4"/>
  <cols>
    <col min="1" max="1" width="4" customWidth="1"/>
    <col min="2" max="2" width="9" customWidth="1"/>
    <col min="3" max="3" width="16" customWidth="1"/>
    <col min="4" max="4" width="22" customWidth="1"/>
    <col min="5" max="5" width="8" customWidth="1"/>
    <col min="6" max="7" width="11" customWidth="1"/>
    <col min="8" max="8" width="20" customWidth="1"/>
    <col min="9" max="9" width="24" customWidth="1"/>
    <col min="10" max="10" width="2" customWidth="1"/>
    <col min="11" max="68" width="5.41796875" customWidth="1"/>
  </cols>
  <sheetData>
    <row r="1" spans="1:68" ht="24" customHeight="1">
      <c r="A1" s="7" t="s">
        <v>43</v>
      </c>
      <c r="B1" s="7"/>
      <c r="C1" s="7"/>
      <c r="D1" s="7"/>
      <c r="E1" s="7"/>
      <c r="F1" s="7"/>
      <c r="G1" s="7"/>
      <c r="H1" s="7"/>
      <c r="I1" s="7"/>
    </row>
    <row r="2" spans="1:68" ht="16.5" customHeight="1">
      <c r="A2" s="6" t="s">
        <v>1</v>
      </c>
      <c r="B2" s="6"/>
      <c r="C2" s="6"/>
      <c r="D2" s="5">
        <v>46461</v>
      </c>
      <c r="E2" s="5"/>
      <c r="F2" s="4" t="s">
        <v>2</v>
      </c>
      <c r="G2" s="4"/>
      <c r="H2" s="4"/>
      <c r="I2" s="4"/>
    </row>
    <row r="3" spans="1:68" ht="16.5" customHeight="1">
      <c r="A3" s="6" t="s">
        <v>3</v>
      </c>
      <c r="B3" s="6"/>
      <c r="C3" s="6"/>
      <c r="D3" s="5">
        <f>G21</f>
        <v>46542</v>
      </c>
      <c r="E3" s="5"/>
      <c r="F3" s="4"/>
      <c r="G3" s="4"/>
      <c r="H3" s="4"/>
      <c r="I3" s="4"/>
    </row>
    <row r="4" spans="1:68" ht="16.5" customHeight="1">
      <c r="A4" s="6" t="s">
        <v>4</v>
      </c>
      <c r="B4" s="6"/>
      <c r="C4" s="6"/>
      <c r="D4" s="3">
        <f>(G21-D2)/7</f>
        <v>11.571428571428571</v>
      </c>
      <c r="E4" s="3"/>
      <c r="F4" s="4"/>
      <c r="G4" s="4"/>
      <c r="H4" s="4"/>
      <c r="I4" s="4"/>
    </row>
    <row r="5" spans="1:68" ht="6" customHeight="1"/>
    <row r="6" spans="1:68" ht="19.5" customHeight="1">
      <c r="A6" s="8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K6" s="10">
        <v>46174</v>
      </c>
      <c r="L6" s="10">
        <v>46181</v>
      </c>
      <c r="M6" s="11">
        <v>46188</v>
      </c>
      <c r="N6" s="10">
        <v>46195</v>
      </c>
      <c r="O6" s="10">
        <v>46202</v>
      </c>
      <c r="P6" s="10">
        <v>46209</v>
      </c>
      <c r="Q6" s="10">
        <v>46216</v>
      </c>
      <c r="R6" s="10">
        <v>46223</v>
      </c>
      <c r="S6" s="10">
        <v>46230</v>
      </c>
      <c r="T6" s="10">
        <v>46237</v>
      </c>
      <c r="U6" s="10">
        <v>46244</v>
      </c>
      <c r="V6" s="10">
        <v>46251</v>
      </c>
      <c r="W6" s="10">
        <v>46258</v>
      </c>
      <c r="X6" s="10">
        <v>46265</v>
      </c>
      <c r="Y6" s="10">
        <v>46272</v>
      </c>
      <c r="Z6" s="10">
        <v>46279</v>
      </c>
      <c r="AA6" s="10">
        <v>46286</v>
      </c>
      <c r="AB6" s="10">
        <v>46293</v>
      </c>
      <c r="AC6" s="10">
        <v>46300</v>
      </c>
      <c r="AD6" s="10">
        <v>46307</v>
      </c>
      <c r="AE6" s="10">
        <v>46314</v>
      </c>
      <c r="AF6" s="10">
        <v>46321</v>
      </c>
      <c r="AG6" s="10">
        <v>46328</v>
      </c>
      <c r="AH6" s="10">
        <v>46335</v>
      </c>
      <c r="AI6" s="10">
        <v>46342</v>
      </c>
      <c r="AJ6" s="10">
        <v>46349</v>
      </c>
      <c r="AK6" s="10">
        <v>46356</v>
      </c>
      <c r="AL6" s="10">
        <v>46363</v>
      </c>
      <c r="AM6" s="10">
        <v>46370</v>
      </c>
      <c r="AN6" s="10">
        <v>46377</v>
      </c>
      <c r="AO6" s="10">
        <v>46384</v>
      </c>
      <c r="AP6" s="10">
        <v>46391</v>
      </c>
      <c r="AQ6" s="10">
        <v>46398</v>
      </c>
      <c r="AR6" s="10">
        <v>46405</v>
      </c>
      <c r="AS6" s="10">
        <v>46412</v>
      </c>
      <c r="AT6" s="10">
        <v>46419</v>
      </c>
      <c r="AU6" s="10">
        <v>46426</v>
      </c>
      <c r="AV6" s="10">
        <v>46433</v>
      </c>
      <c r="AW6" s="10">
        <v>46440</v>
      </c>
      <c r="AX6" s="10">
        <v>46447</v>
      </c>
      <c r="AY6" s="10">
        <v>46454</v>
      </c>
      <c r="AZ6" s="12">
        <v>46461</v>
      </c>
      <c r="BA6" s="10">
        <v>46468</v>
      </c>
      <c r="BB6" s="10">
        <v>46475</v>
      </c>
      <c r="BC6" s="10">
        <v>46482</v>
      </c>
      <c r="BD6" s="10">
        <v>46489</v>
      </c>
      <c r="BE6" s="10">
        <v>46496</v>
      </c>
      <c r="BF6" s="10">
        <v>46503</v>
      </c>
      <c r="BG6" s="10">
        <v>46510</v>
      </c>
      <c r="BH6" s="10">
        <v>46517</v>
      </c>
      <c r="BI6" s="10">
        <v>46524</v>
      </c>
      <c r="BJ6" s="10">
        <v>46531</v>
      </c>
      <c r="BK6" s="10">
        <v>46538</v>
      </c>
      <c r="BL6" s="10">
        <v>46545</v>
      </c>
      <c r="BM6" s="10">
        <v>46552</v>
      </c>
      <c r="BN6" s="10">
        <v>46559</v>
      </c>
      <c r="BO6" s="10">
        <v>46566</v>
      </c>
      <c r="BP6" s="10">
        <v>46573</v>
      </c>
    </row>
    <row r="7" spans="1:68" ht="12" customHeight="1">
      <c r="A7" s="1" t="s">
        <v>44</v>
      </c>
      <c r="B7" s="1"/>
      <c r="C7" s="1"/>
      <c r="D7" s="1"/>
      <c r="E7" s="1"/>
      <c r="F7" s="1"/>
      <c r="G7" s="1"/>
      <c r="H7" s="1"/>
      <c r="I7" s="1"/>
      <c r="K7" s="16"/>
      <c r="L7" s="16"/>
      <c r="M7" s="16"/>
      <c r="N7" s="16"/>
      <c r="O7" s="16"/>
      <c r="P7" s="16"/>
      <c r="Q7" s="16"/>
      <c r="R7" s="1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ht="16.5" customHeight="1">
      <c r="A8" s="6" t="s">
        <v>45</v>
      </c>
      <c r="B8" s="6"/>
      <c r="C8" s="6"/>
      <c r="D8" s="6"/>
      <c r="E8" s="6"/>
      <c r="F8" s="6"/>
      <c r="G8" s="6"/>
      <c r="H8" s="6"/>
      <c r="I8" s="6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</row>
    <row r="9" spans="1:68" ht="25.5" customHeight="1">
      <c r="A9" s="14">
        <v>1</v>
      </c>
      <c r="B9" s="15" t="s">
        <v>15</v>
      </c>
      <c r="C9" s="16" t="s">
        <v>16</v>
      </c>
      <c r="D9" s="16" t="s">
        <v>16</v>
      </c>
      <c r="E9" s="17">
        <f>(G9-F9+1)/7</f>
        <v>13.142857142857142</v>
      </c>
      <c r="F9" s="18">
        <v>46174</v>
      </c>
      <c r="G9" s="18">
        <v>46265</v>
      </c>
      <c r="H9" s="19" t="s">
        <v>17</v>
      </c>
      <c r="I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</row>
    <row r="10" spans="1:68" ht="16.5" customHeight="1">
      <c r="A10" s="6" t="s">
        <v>46</v>
      </c>
      <c r="B10" s="6"/>
      <c r="C10" s="6"/>
      <c r="D10" s="6"/>
      <c r="E10" s="6"/>
      <c r="F10" s="6"/>
      <c r="G10" s="6"/>
      <c r="H10" s="6"/>
      <c r="I10" s="6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</row>
    <row r="11" spans="1:68" ht="25.5" customHeight="1">
      <c r="A11" s="14">
        <v>2</v>
      </c>
      <c r="B11" s="15" t="s">
        <v>15</v>
      </c>
      <c r="C11" s="19" t="s">
        <v>19</v>
      </c>
      <c r="D11" s="19" t="s">
        <v>47</v>
      </c>
      <c r="E11" s="20">
        <v>4</v>
      </c>
      <c r="F11" s="18">
        <v>46235</v>
      </c>
      <c r="G11" s="21">
        <f>F11+E11*7-1</f>
        <v>46262</v>
      </c>
      <c r="H11" s="19" t="s">
        <v>48</v>
      </c>
      <c r="I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</row>
    <row r="12" spans="1:68" ht="25.5" customHeight="1">
      <c r="A12" s="14">
        <v>3</v>
      </c>
      <c r="B12" s="15" t="s">
        <v>15</v>
      </c>
      <c r="C12" s="19" t="s">
        <v>19</v>
      </c>
      <c r="D12" s="19" t="s">
        <v>20</v>
      </c>
      <c r="E12" s="20">
        <v>8</v>
      </c>
      <c r="F12" s="21">
        <f>G11+1</f>
        <v>46263</v>
      </c>
      <c r="G12" s="21">
        <f>F12+E12*7-1</f>
        <v>46318</v>
      </c>
      <c r="H12" s="19" t="s">
        <v>48</v>
      </c>
      <c r="I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</row>
    <row r="13" spans="1:68" ht="25.5" customHeight="1">
      <c r="A13" s="14">
        <v>4</v>
      </c>
      <c r="B13" s="15" t="s">
        <v>15</v>
      </c>
      <c r="C13" s="19" t="s">
        <v>19</v>
      </c>
      <c r="D13" s="16" t="s">
        <v>23</v>
      </c>
      <c r="E13" s="20">
        <v>4</v>
      </c>
      <c r="F13" s="21">
        <f>G12+1</f>
        <v>46319</v>
      </c>
      <c r="G13" s="21">
        <f>F13+E13*7-1</f>
        <v>46346</v>
      </c>
      <c r="H13" s="19" t="s">
        <v>48</v>
      </c>
      <c r="I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</row>
    <row r="14" spans="1:68" ht="12.75" customHeight="1">
      <c r="A14" s="2" t="s">
        <v>49</v>
      </c>
      <c r="B14" s="2"/>
      <c r="C14" s="2"/>
      <c r="D14" s="2"/>
      <c r="E14" s="2"/>
      <c r="F14" s="2"/>
      <c r="G14" s="2"/>
      <c r="H14" s="2"/>
      <c r="I14" s="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</row>
    <row r="15" spans="1:68" ht="25.5" customHeight="1">
      <c r="A15" s="14">
        <v>5</v>
      </c>
      <c r="B15" s="15" t="s">
        <v>15</v>
      </c>
      <c r="C15" s="19" t="s">
        <v>26</v>
      </c>
      <c r="D15" s="16" t="s">
        <v>27</v>
      </c>
      <c r="E15" s="20">
        <v>8</v>
      </c>
      <c r="F15" s="21">
        <f>G13+1</f>
        <v>46347</v>
      </c>
      <c r="G15" s="21">
        <f t="shared" ref="G15:G21" si="0">F15+E15*7-1</f>
        <v>46402</v>
      </c>
      <c r="H15" s="19" t="s">
        <v>48</v>
      </c>
      <c r="I15" s="16" t="s">
        <v>50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</row>
    <row r="16" spans="1:68" ht="25.5" customHeight="1">
      <c r="A16" s="14">
        <v>6</v>
      </c>
      <c r="B16" s="15" t="s">
        <v>15</v>
      </c>
      <c r="C16" s="19" t="s">
        <v>26</v>
      </c>
      <c r="D16" s="16" t="s">
        <v>30</v>
      </c>
      <c r="E16" s="20">
        <v>8</v>
      </c>
      <c r="F16" s="21">
        <f>F15</f>
        <v>46347</v>
      </c>
      <c r="G16" s="21">
        <f t="shared" si="0"/>
        <v>46402</v>
      </c>
      <c r="H16" s="19" t="s">
        <v>48</v>
      </c>
      <c r="I16" s="16" t="s">
        <v>50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</row>
    <row r="17" spans="1:68" ht="25.5" customHeight="1">
      <c r="A17" s="14">
        <v>7</v>
      </c>
      <c r="B17" s="15" t="s">
        <v>15</v>
      </c>
      <c r="C17" s="19" t="s">
        <v>26</v>
      </c>
      <c r="D17" s="16" t="s">
        <v>31</v>
      </c>
      <c r="E17" s="20">
        <v>8</v>
      </c>
      <c r="F17" s="21">
        <f>F15</f>
        <v>46347</v>
      </c>
      <c r="G17" s="21">
        <f t="shared" si="0"/>
        <v>46402</v>
      </c>
      <c r="H17" s="19" t="s">
        <v>48</v>
      </c>
      <c r="I17" s="16" t="s">
        <v>50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</row>
    <row r="18" spans="1:68" ht="25.5" customHeight="1">
      <c r="A18" s="14">
        <v>8</v>
      </c>
      <c r="B18" s="15" t="s">
        <v>15</v>
      </c>
      <c r="C18" s="19" t="s">
        <v>19</v>
      </c>
      <c r="D18" s="19" t="s">
        <v>32</v>
      </c>
      <c r="E18" s="20">
        <v>12</v>
      </c>
      <c r="F18" s="21">
        <f>G15+1</f>
        <v>46403</v>
      </c>
      <c r="G18" s="21">
        <f t="shared" si="0"/>
        <v>46486</v>
      </c>
      <c r="H18" s="19" t="s">
        <v>51</v>
      </c>
      <c r="I18" s="19" t="s">
        <v>52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</row>
    <row r="19" spans="1:68" ht="25.5" customHeight="1">
      <c r="A19" s="14">
        <v>9</v>
      </c>
      <c r="B19" s="15" t="s">
        <v>15</v>
      </c>
      <c r="C19" s="19" t="s">
        <v>19</v>
      </c>
      <c r="D19" s="19" t="s">
        <v>33</v>
      </c>
      <c r="E19" s="20">
        <v>4</v>
      </c>
      <c r="F19" s="21">
        <f>G18+1</f>
        <v>46487</v>
      </c>
      <c r="G19" s="21">
        <f t="shared" si="0"/>
        <v>46514</v>
      </c>
      <c r="H19" s="19" t="s">
        <v>53</v>
      </c>
      <c r="I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</row>
    <row r="20" spans="1:68" ht="25.5" customHeight="1">
      <c r="A20" s="14">
        <v>10</v>
      </c>
      <c r="B20" s="15" t="s">
        <v>15</v>
      </c>
      <c r="C20" s="19" t="s">
        <v>19</v>
      </c>
      <c r="D20" s="19" t="s">
        <v>34</v>
      </c>
      <c r="E20" s="20">
        <v>2</v>
      </c>
      <c r="F20" s="21">
        <f>G19+1</f>
        <v>46515</v>
      </c>
      <c r="G20" s="21">
        <f t="shared" si="0"/>
        <v>46528</v>
      </c>
      <c r="H20" s="19" t="s">
        <v>53</v>
      </c>
      <c r="I20" s="19" t="s">
        <v>22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</row>
    <row r="21" spans="1:68" ht="25.5" customHeight="1">
      <c r="A21" s="14">
        <v>11</v>
      </c>
      <c r="B21" s="15" t="s">
        <v>15</v>
      </c>
      <c r="C21" s="19" t="s">
        <v>19</v>
      </c>
      <c r="D21" s="19" t="s">
        <v>35</v>
      </c>
      <c r="E21" s="20">
        <v>2</v>
      </c>
      <c r="F21" s="21">
        <f>G20+1</f>
        <v>46529</v>
      </c>
      <c r="G21" s="21">
        <f t="shared" si="0"/>
        <v>46542</v>
      </c>
      <c r="H21" s="19" t="s">
        <v>53</v>
      </c>
      <c r="I21" s="19" t="s">
        <v>22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</row>
    <row r="22" spans="1:68" ht="16.5" customHeight="1">
      <c r="A22" s="6" t="s">
        <v>54</v>
      </c>
      <c r="B22" s="6"/>
      <c r="C22" s="6"/>
      <c r="D22" s="6"/>
      <c r="E22" s="6"/>
      <c r="F22" s="6"/>
      <c r="G22" s="6"/>
      <c r="H22" s="6"/>
      <c r="I22" s="6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</row>
    <row r="23" spans="1:68" ht="25.5" customHeight="1">
      <c r="A23" s="14">
        <v>12</v>
      </c>
      <c r="B23" s="15" t="s">
        <v>37</v>
      </c>
      <c r="C23" s="19" t="s">
        <v>38</v>
      </c>
      <c r="D23" s="16" t="s">
        <v>39</v>
      </c>
      <c r="E23" s="20"/>
      <c r="F23" s="18">
        <v>46174</v>
      </c>
      <c r="G23" s="18">
        <v>46579</v>
      </c>
      <c r="H23" s="19" t="s">
        <v>40</v>
      </c>
      <c r="I23" s="19" t="s">
        <v>41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</row>
    <row r="24" spans="1:68" ht="25.5" customHeight="1">
      <c r="A24" s="14">
        <v>13</v>
      </c>
      <c r="B24" s="15" t="s">
        <v>37</v>
      </c>
      <c r="C24" s="19" t="s">
        <v>38</v>
      </c>
      <c r="D24" s="16" t="s">
        <v>42</v>
      </c>
      <c r="E24" s="20"/>
      <c r="F24" s="18">
        <v>46174</v>
      </c>
      <c r="G24" s="18">
        <v>46579</v>
      </c>
      <c r="H24" s="19" t="s">
        <v>40</v>
      </c>
      <c r="I24" s="19" t="s">
        <v>41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</row>
  </sheetData>
  <mergeCells count="13">
    <mergeCell ref="A7:I7"/>
    <mergeCell ref="A8:I8"/>
    <mergeCell ref="A10:I10"/>
    <mergeCell ref="A14:I14"/>
    <mergeCell ref="A22:I22"/>
    <mergeCell ref="A1:I1"/>
    <mergeCell ref="A2:C2"/>
    <mergeCell ref="D2:E2"/>
    <mergeCell ref="F2:I4"/>
    <mergeCell ref="A3:C3"/>
    <mergeCell ref="D3:E3"/>
    <mergeCell ref="A4:C4"/>
    <mergeCell ref="D4:E4"/>
  </mergeCells>
  <phoneticPr fontId="16" type="noConversion"/>
  <conditionalFormatting sqref="K9:BP9">
    <cfRule type="expression" dxfId="12" priority="2">
      <formula>AND(K$6&lt;=$G9,(K$6+6)&gt;=$F9)</formula>
    </cfRule>
  </conditionalFormatting>
  <conditionalFormatting sqref="K11:BP11">
    <cfRule type="expression" dxfId="11" priority="3">
      <formula>AND(K$6&lt;=$G11,(K$6+6)&gt;=$F11)</formula>
    </cfRule>
  </conditionalFormatting>
  <conditionalFormatting sqref="K12:BP12">
    <cfRule type="expression" dxfId="10" priority="4">
      <formula>AND(K$6&lt;=$G12,(K$6+6)&gt;=$F12)</formula>
    </cfRule>
  </conditionalFormatting>
  <conditionalFormatting sqref="K13:BP13">
    <cfRule type="expression" dxfId="9" priority="5">
      <formula>AND(K$6&lt;=$G13,(K$6+6)&gt;=$F13)</formula>
    </cfRule>
  </conditionalFormatting>
  <conditionalFormatting sqref="K15:BP15">
    <cfRule type="expression" dxfId="8" priority="6">
      <formula>AND(K$6&lt;=$G15,(K$6+6)&gt;=$F15)</formula>
    </cfRule>
  </conditionalFormatting>
  <conditionalFormatting sqref="K16:BP16">
    <cfRule type="expression" dxfId="7" priority="7">
      <formula>AND(K$6&lt;=$G16,(K$6+6)&gt;=$F16)</formula>
    </cfRule>
  </conditionalFormatting>
  <conditionalFormatting sqref="K17:BP17">
    <cfRule type="expression" dxfId="6" priority="8">
      <formula>AND(K$6&lt;=$G17,(K$6+6)&gt;=$F17)</formula>
    </cfRule>
  </conditionalFormatting>
  <conditionalFormatting sqref="K18:BP18">
    <cfRule type="expression" dxfId="5" priority="9">
      <formula>AND(K$6&lt;=$G18,(K$6+6)&gt;=$F18)</formula>
    </cfRule>
  </conditionalFormatting>
  <conditionalFormatting sqref="K19:BP19">
    <cfRule type="expression" dxfId="4" priority="10">
      <formula>AND(K$6&lt;=$G19,(K$6+6)&gt;=$F19)</formula>
    </cfRule>
  </conditionalFormatting>
  <conditionalFormatting sqref="K20:BP20">
    <cfRule type="expression" dxfId="3" priority="11">
      <formula>AND(K$6&lt;=$G20,(K$6+6)&gt;=$F20)</formula>
    </cfRule>
  </conditionalFormatting>
  <conditionalFormatting sqref="K21:BP21">
    <cfRule type="expression" dxfId="2" priority="12">
      <formula>AND(K$6&lt;=$G21,(K$6+6)&gt;=$F21)</formula>
    </cfRule>
  </conditionalFormatting>
  <conditionalFormatting sqref="K23:BP23">
    <cfRule type="expression" dxfId="1" priority="13">
      <formula>AND(K$6&lt;=$G23,(K$6+6)&gt;=$F23)</formula>
    </cfRule>
  </conditionalFormatting>
  <conditionalFormatting sqref="K24:BP24">
    <cfRule type="expression" dxfId="0" priority="14">
      <formula>AND(K$6&lt;=$G24,(K$6+6)&gt;=$F24)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Plan A</vt:lpstr>
      <vt:lpstr>Plan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JKH</cp:lastModifiedBy>
  <cp:revision>0</cp:revision>
  <dcterms:created xsi:type="dcterms:W3CDTF">2026-06-18T02:06:21Z</dcterms:created>
  <dcterms:modified xsi:type="dcterms:W3CDTF">2026-06-18T02:20:40Z</dcterms:modified>
  <dc:language>en-US</dc:language>
</cp:coreProperties>
</file>